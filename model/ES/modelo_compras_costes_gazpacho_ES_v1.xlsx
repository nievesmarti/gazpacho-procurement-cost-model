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nieves/Desktop/"/>
    </mc:Choice>
  </mc:AlternateContent>
  <xr:revisionPtr revIDLastSave="0" documentId="8_{8A0435DA-39ED-5B4E-B2B3-B32C76E29A32}" xr6:coauthVersionLast="47" xr6:coauthVersionMax="47" xr10:uidLastSave="{00000000-0000-0000-0000-000000000000}"/>
  <bookViews>
    <workbookView xWindow="0" yWindow="0" windowWidth="28800" windowHeight="16420" xr2:uid="{00000000-000D-0000-FFFF-FFFF00000000}"/>
  </bookViews>
  <sheets>
    <sheet name="LEEME" sheetId="1" r:id="rId1"/>
    <sheet name="Supuestos" sheetId="2" r:id="rId2"/>
    <sheet name="Maestro_Ingredientes" sheetId="3" r:id="rId3"/>
    <sheet name="Plan_Produccion" sheetId="4" r:id="rId4"/>
    <sheet name="Plan_Compras" sheetId="5" r:id="rId5"/>
    <sheet name="Modelo_Costes" sheetId="6" r:id="rId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75" i="6" l="1"/>
  <c r="A74" i="6"/>
  <c r="A73" i="6"/>
  <c r="A72" i="6"/>
  <c r="A71" i="6"/>
  <c r="A70" i="6"/>
  <c r="A69" i="6"/>
  <c r="A68" i="6"/>
  <c r="A67" i="6"/>
  <c r="G61" i="6"/>
  <c r="D61" i="6"/>
  <c r="M35" i="6" s="1"/>
  <c r="B61" i="6"/>
  <c r="H61" i="6" s="1"/>
  <c r="J60" i="6"/>
  <c r="K60" i="6" s="1"/>
  <c r="H60" i="6"/>
  <c r="P60" i="6" s="1"/>
  <c r="L44" i="6" s="1"/>
  <c r="G60" i="6"/>
  <c r="L42" i="6" s="1"/>
  <c r="E60" i="6"/>
  <c r="I60" i="6" s="1"/>
  <c r="C60" i="6"/>
  <c r="L36" i="6" s="1"/>
  <c r="B60" i="6"/>
  <c r="D60" i="6" s="1"/>
  <c r="L35" i="6" s="1"/>
  <c r="G59" i="6"/>
  <c r="B59" i="6"/>
  <c r="E59" i="6" s="1"/>
  <c r="J58" i="6"/>
  <c r="K58" i="6" s="1"/>
  <c r="H58" i="6"/>
  <c r="P58" i="6" s="1"/>
  <c r="J44" i="6" s="1"/>
  <c r="G58" i="6"/>
  <c r="E58" i="6"/>
  <c r="I58" i="6" s="1"/>
  <c r="B58" i="6"/>
  <c r="D58" i="6" s="1"/>
  <c r="J35" i="6" s="1"/>
  <c r="G57" i="6"/>
  <c r="B57" i="6"/>
  <c r="C57" i="6" s="1"/>
  <c r="J56" i="6"/>
  <c r="K56" i="6" s="1"/>
  <c r="H56" i="6"/>
  <c r="P56" i="6" s="1"/>
  <c r="H44" i="6" s="1"/>
  <c r="G56" i="6"/>
  <c r="E56" i="6"/>
  <c r="H40" i="6" s="1"/>
  <c r="C56" i="6"/>
  <c r="H36" i="6" s="1"/>
  <c r="B56" i="6"/>
  <c r="D56" i="6" s="1"/>
  <c r="G55" i="6"/>
  <c r="B55" i="6"/>
  <c r="J55" i="6" s="1"/>
  <c r="J54" i="6"/>
  <c r="K54" i="6" s="1"/>
  <c r="H54" i="6"/>
  <c r="P54" i="6" s="1"/>
  <c r="F44" i="6" s="1"/>
  <c r="G54" i="6"/>
  <c r="F42" i="6" s="1"/>
  <c r="E54" i="6"/>
  <c r="F40" i="6" s="1"/>
  <c r="D54" i="6"/>
  <c r="C54" i="6"/>
  <c r="F34" i="6" s="1"/>
  <c r="B54" i="6"/>
  <c r="G53" i="6"/>
  <c r="D53" i="6"/>
  <c r="E35" i="6" s="1"/>
  <c r="B53" i="6"/>
  <c r="H53" i="6" s="1"/>
  <c r="J52" i="6"/>
  <c r="K52" i="6" s="1"/>
  <c r="H52" i="6"/>
  <c r="P52" i="6" s="1"/>
  <c r="D44" i="6" s="1"/>
  <c r="G52" i="6"/>
  <c r="D42" i="6" s="1"/>
  <c r="E52" i="6"/>
  <c r="I52" i="6" s="1"/>
  <c r="D52" i="6"/>
  <c r="C52" i="6"/>
  <c r="D36" i="6" s="1"/>
  <c r="B52" i="6"/>
  <c r="G51" i="6"/>
  <c r="C42" i="6" s="1"/>
  <c r="D51" i="6"/>
  <c r="C35" i="6" s="1"/>
  <c r="B51" i="6"/>
  <c r="E51" i="6" s="1"/>
  <c r="H50" i="6"/>
  <c r="P50" i="6" s="1"/>
  <c r="G50" i="6"/>
  <c r="B50" i="6"/>
  <c r="L43" i="6"/>
  <c r="J43" i="6"/>
  <c r="H43" i="6"/>
  <c r="F43" i="6"/>
  <c r="D43" i="6"/>
  <c r="M42" i="6"/>
  <c r="K42" i="6"/>
  <c r="J42" i="6"/>
  <c r="I42" i="6"/>
  <c r="H42" i="6"/>
  <c r="G42" i="6"/>
  <c r="E42" i="6"/>
  <c r="B42" i="6"/>
  <c r="M41" i="6"/>
  <c r="L41" i="6"/>
  <c r="K41" i="6"/>
  <c r="J41" i="6"/>
  <c r="I41" i="6"/>
  <c r="H41" i="6"/>
  <c r="G41" i="6"/>
  <c r="F41" i="6"/>
  <c r="E41" i="6"/>
  <c r="D41" i="6"/>
  <c r="C41" i="6"/>
  <c r="B41" i="6"/>
  <c r="L40" i="6"/>
  <c r="L37" i="6"/>
  <c r="J37" i="6"/>
  <c r="H37" i="6"/>
  <c r="F37" i="6"/>
  <c r="H35" i="6"/>
  <c r="F35" i="6"/>
  <c r="D35" i="6"/>
  <c r="M33" i="6"/>
  <c r="L33" i="6"/>
  <c r="J33" i="6"/>
  <c r="H33" i="6"/>
  <c r="F33" i="6"/>
  <c r="D33" i="6"/>
  <c r="B33" i="6"/>
  <c r="B24" i="6"/>
  <c r="N41" i="6" s="1"/>
  <c r="B23" i="6"/>
  <c r="B13" i="6"/>
  <c r="E11" i="6"/>
  <c r="E10" i="6"/>
  <c r="E9" i="6"/>
  <c r="B8" i="6"/>
  <c r="N114" i="5"/>
  <c r="M114" i="5"/>
  <c r="L114" i="5"/>
  <c r="I114" i="5"/>
  <c r="D114" i="5"/>
  <c r="E114" i="5" s="1"/>
  <c r="C114" i="5"/>
  <c r="M113" i="5"/>
  <c r="L113" i="5"/>
  <c r="I113" i="5"/>
  <c r="E113" i="5"/>
  <c r="D113" i="5"/>
  <c r="F113" i="5" s="1"/>
  <c r="C113" i="5"/>
  <c r="N112" i="5"/>
  <c r="O112" i="5" s="1"/>
  <c r="M112" i="5"/>
  <c r="L112" i="5"/>
  <c r="I112" i="5"/>
  <c r="D112" i="5"/>
  <c r="E112" i="5" s="1"/>
  <c r="C112" i="5"/>
  <c r="M111" i="5"/>
  <c r="L111" i="5"/>
  <c r="I111" i="5"/>
  <c r="F111" i="5"/>
  <c r="E111" i="5"/>
  <c r="D111" i="5"/>
  <c r="C111" i="5"/>
  <c r="N110" i="5"/>
  <c r="O110" i="5" s="1"/>
  <c r="M110" i="5"/>
  <c r="L110" i="5"/>
  <c r="I110" i="5"/>
  <c r="D110" i="5"/>
  <c r="C110" i="5"/>
  <c r="Q109" i="5"/>
  <c r="N109" i="5"/>
  <c r="O109" i="5" s="1"/>
  <c r="M109" i="5"/>
  <c r="P109" i="5" s="1"/>
  <c r="L109" i="5"/>
  <c r="I109" i="5"/>
  <c r="F109" i="5"/>
  <c r="E109" i="5"/>
  <c r="D109" i="5"/>
  <c r="C109" i="5"/>
  <c r="Q108" i="5"/>
  <c r="N108" i="5"/>
  <c r="M108" i="5"/>
  <c r="L108" i="5"/>
  <c r="I108" i="5"/>
  <c r="F108" i="5"/>
  <c r="E108" i="5"/>
  <c r="D108" i="5"/>
  <c r="C108" i="5"/>
  <c r="M107" i="5"/>
  <c r="L107" i="5"/>
  <c r="I107" i="5"/>
  <c r="E107" i="5"/>
  <c r="D107" i="5"/>
  <c r="F107" i="5" s="1"/>
  <c r="Q107" i="5" s="1"/>
  <c r="C107" i="5"/>
  <c r="O106" i="5"/>
  <c r="N106" i="5"/>
  <c r="M106" i="5"/>
  <c r="L106" i="5"/>
  <c r="I106" i="5"/>
  <c r="D106" i="5"/>
  <c r="E106" i="5" s="1"/>
  <c r="C106" i="5"/>
  <c r="M105" i="5"/>
  <c r="L105" i="5"/>
  <c r="I105" i="5"/>
  <c r="F105" i="5"/>
  <c r="E105" i="5"/>
  <c r="D105" i="5"/>
  <c r="C105" i="5"/>
  <c r="M104" i="5"/>
  <c r="L104" i="5"/>
  <c r="I104" i="5"/>
  <c r="F104" i="5"/>
  <c r="D104" i="5"/>
  <c r="E104" i="5" s="1"/>
  <c r="C104" i="5"/>
  <c r="P103" i="5"/>
  <c r="M103" i="5"/>
  <c r="L103" i="5"/>
  <c r="I103" i="5"/>
  <c r="D103" i="5"/>
  <c r="F103" i="5" s="1"/>
  <c r="C103" i="5"/>
  <c r="O102" i="5"/>
  <c r="N102" i="5"/>
  <c r="M102" i="5"/>
  <c r="L102" i="5"/>
  <c r="I102" i="5"/>
  <c r="D102" i="5"/>
  <c r="C102" i="5"/>
  <c r="Q101" i="5"/>
  <c r="O101" i="5"/>
  <c r="N101" i="5"/>
  <c r="M101" i="5"/>
  <c r="P101" i="5" s="1"/>
  <c r="L101" i="5"/>
  <c r="I101" i="5"/>
  <c r="F101" i="5"/>
  <c r="E101" i="5"/>
  <c r="D101" i="5"/>
  <c r="C101" i="5"/>
  <c r="Q100" i="5"/>
  <c r="N100" i="5"/>
  <c r="M100" i="5"/>
  <c r="L100" i="5"/>
  <c r="I100" i="5"/>
  <c r="F100" i="5"/>
  <c r="E100" i="5"/>
  <c r="D100" i="5"/>
  <c r="C100" i="5"/>
  <c r="Q99" i="5"/>
  <c r="M99" i="5"/>
  <c r="N99" i="5" s="1"/>
  <c r="L99" i="5"/>
  <c r="I99" i="5"/>
  <c r="E99" i="5"/>
  <c r="D99" i="5"/>
  <c r="F99" i="5" s="1"/>
  <c r="P99" i="5" s="1"/>
  <c r="C99" i="5"/>
  <c r="N98" i="5"/>
  <c r="O98" i="5" s="1"/>
  <c r="M98" i="5"/>
  <c r="L98" i="5"/>
  <c r="I98" i="5"/>
  <c r="D98" i="5"/>
  <c r="E98" i="5" s="1"/>
  <c r="C98" i="5"/>
  <c r="M97" i="5"/>
  <c r="L97" i="5"/>
  <c r="I97" i="5"/>
  <c r="F97" i="5"/>
  <c r="E97" i="5"/>
  <c r="D97" i="5"/>
  <c r="C97" i="5"/>
  <c r="N96" i="5"/>
  <c r="M96" i="5"/>
  <c r="L96" i="5"/>
  <c r="I96" i="5"/>
  <c r="D96" i="5"/>
  <c r="F96" i="5" s="1"/>
  <c r="C96" i="5"/>
  <c r="Q95" i="5"/>
  <c r="P95" i="5"/>
  <c r="O95" i="5"/>
  <c r="M95" i="5"/>
  <c r="N95" i="5" s="1"/>
  <c r="L95" i="5"/>
  <c r="I95" i="5"/>
  <c r="D95" i="5"/>
  <c r="F95" i="5" s="1"/>
  <c r="C95" i="5"/>
  <c r="O94" i="5"/>
  <c r="N94" i="5"/>
  <c r="M94" i="5"/>
  <c r="L94" i="5"/>
  <c r="I94" i="5"/>
  <c r="D94" i="5"/>
  <c r="E94" i="5" s="1"/>
  <c r="C94" i="5"/>
  <c r="Q93" i="5"/>
  <c r="M93" i="5"/>
  <c r="L93" i="5"/>
  <c r="I93" i="5"/>
  <c r="F93" i="5"/>
  <c r="E93" i="5"/>
  <c r="D93" i="5"/>
  <c r="C93" i="5"/>
  <c r="M92" i="5"/>
  <c r="L92" i="5"/>
  <c r="I92" i="5"/>
  <c r="F92" i="5"/>
  <c r="E92" i="5"/>
  <c r="D92" i="5"/>
  <c r="C92" i="5"/>
  <c r="O91" i="5"/>
  <c r="M91" i="5"/>
  <c r="N91" i="5" s="1"/>
  <c r="L91" i="5"/>
  <c r="I91" i="5"/>
  <c r="D91" i="5"/>
  <c r="F91" i="5" s="1"/>
  <c r="C91" i="5"/>
  <c r="O90" i="5"/>
  <c r="N90" i="5"/>
  <c r="M90" i="5"/>
  <c r="L90" i="5"/>
  <c r="I90" i="5"/>
  <c r="D90" i="5"/>
  <c r="E90" i="5" s="1"/>
  <c r="C90" i="5"/>
  <c r="Q89" i="5"/>
  <c r="N89" i="5"/>
  <c r="O89" i="5" s="1"/>
  <c r="M89" i="5"/>
  <c r="P89" i="5" s="1"/>
  <c r="L89" i="5"/>
  <c r="I89" i="5"/>
  <c r="F89" i="5"/>
  <c r="E89" i="5"/>
  <c r="D89" i="5"/>
  <c r="C89" i="5"/>
  <c r="M88" i="5"/>
  <c r="L88" i="5"/>
  <c r="I88" i="5"/>
  <c r="F88" i="5"/>
  <c r="P88" i="5" s="1"/>
  <c r="D88" i="5"/>
  <c r="E88" i="5" s="1"/>
  <c r="C88" i="5"/>
  <c r="M87" i="5"/>
  <c r="N87" i="5" s="1"/>
  <c r="L87" i="5"/>
  <c r="I87" i="5"/>
  <c r="E87" i="5"/>
  <c r="D87" i="5"/>
  <c r="F87" i="5" s="1"/>
  <c r="C87" i="5"/>
  <c r="N86" i="5"/>
  <c r="O86" i="5" s="1"/>
  <c r="M86" i="5"/>
  <c r="Q86" i="5" s="1"/>
  <c r="L86" i="5"/>
  <c r="I86" i="5"/>
  <c r="F86" i="5"/>
  <c r="P86" i="5" s="1"/>
  <c r="D86" i="5"/>
  <c r="E86" i="5" s="1"/>
  <c r="C86" i="5"/>
  <c r="N85" i="5"/>
  <c r="M85" i="5"/>
  <c r="P85" i="5" s="1"/>
  <c r="L85" i="5"/>
  <c r="I85" i="5"/>
  <c r="F85" i="5"/>
  <c r="E85" i="5"/>
  <c r="D85" i="5"/>
  <c r="C85" i="5"/>
  <c r="N84" i="5"/>
  <c r="M84" i="5"/>
  <c r="L84" i="5"/>
  <c r="I84" i="5"/>
  <c r="D84" i="5"/>
  <c r="C84" i="5"/>
  <c r="Q83" i="5"/>
  <c r="M83" i="5"/>
  <c r="N83" i="5" s="1"/>
  <c r="L83" i="5"/>
  <c r="I83" i="5"/>
  <c r="D83" i="5"/>
  <c r="F83" i="5" s="1"/>
  <c r="P83" i="5" s="1"/>
  <c r="C83" i="5"/>
  <c r="N82" i="5"/>
  <c r="O82" i="5" s="1"/>
  <c r="M82" i="5"/>
  <c r="L82" i="5"/>
  <c r="I82" i="5"/>
  <c r="D82" i="5"/>
  <c r="E82" i="5" s="1"/>
  <c r="C82" i="5"/>
  <c r="M81" i="5"/>
  <c r="L81" i="5"/>
  <c r="I81" i="5"/>
  <c r="F81" i="5"/>
  <c r="E81" i="5"/>
  <c r="D81" i="5"/>
  <c r="C81" i="5"/>
  <c r="M80" i="5"/>
  <c r="L80" i="5"/>
  <c r="I80" i="5"/>
  <c r="E80" i="5"/>
  <c r="D80" i="5"/>
  <c r="F80" i="5" s="1"/>
  <c r="C80" i="5"/>
  <c r="Q79" i="5"/>
  <c r="P79" i="5"/>
  <c r="O79" i="5"/>
  <c r="M79" i="5"/>
  <c r="N79" i="5" s="1"/>
  <c r="L79" i="5"/>
  <c r="I79" i="5"/>
  <c r="D79" i="5"/>
  <c r="F79" i="5" s="1"/>
  <c r="C79" i="5"/>
  <c r="O78" i="5"/>
  <c r="N78" i="5"/>
  <c r="M78" i="5"/>
  <c r="L78" i="5"/>
  <c r="I78" i="5"/>
  <c r="D78" i="5"/>
  <c r="C78" i="5"/>
  <c r="M77" i="5"/>
  <c r="L77" i="5"/>
  <c r="I77" i="5"/>
  <c r="F77" i="5"/>
  <c r="Q77" i="5" s="1"/>
  <c r="E77" i="5"/>
  <c r="D77" i="5"/>
  <c r="C77" i="5"/>
  <c r="M76" i="5"/>
  <c r="L76" i="5"/>
  <c r="I76" i="5"/>
  <c r="F76" i="5"/>
  <c r="E76" i="5"/>
  <c r="D76" i="5"/>
  <c r="C76" i="5"/>
  <c r="M75" i="5"/>
  <c r="L75" i="5"/>
  <c r="I75" i="5"/>
  <c r="D75" i="5"/>
  <c r="F75" i="5" s="1"/>
  <c r="C75" i="5"/>
  <c r="P74" i="5"/>
  <c r="N74" i="5"/>
  <c r="O74" i="5" s="1"/>
  <c r="M74" i="5"/>
  <c r="Q74" i="5" s="1"/>
  <c r="L74" i="5"/>
  <c r="I74" i="5"/>
  <c r="F74" i="5"/>
  <c r="D74" i="5"/>
  <c r="E74" i="5" s="1"/>
  <c r="C74" i="5"/>
  <c r="Q73" i="5"/>
  <c r="N73" i="5"/>
  <c r="O73" i="5" s="1"/>
  <c r="M73" i="5"/>
  <c r="P73" i="5" s="1"/>
  <c r="L73" i="5"/>
  <c r="I73" i="5"/>
  <c r="F73" i="5"/>
  <c r="E73" i="5"/>
  <c r="D73" i="5"/>
  <c r="C73" i="5"/>
  <c r="M72" i="5"/>
  <c r="L72" i="5"/>
  <c r="I72" i="5"/>
  <c r="F72" i="5"/>
  <c r="P72" i="5" s="1"/>
  <c r="E72" i="5"/>
  <c r="D72" i="5"/>
  <c r="C72" i="5"/>
  <c r="M71" i="5"/>
  <c r="L71" i="5"/>
  <c r="I71" i="5"/>
  <c r="E71" i="5"/>
  <c r="D71" i="5"/>
  <c r="F71" i="5" s="1"/>
  <c r="C71" i="5"/>
  <c r="N70" i="5"/>
  <c r="O70" i="5" s="1"/>
  <c r="M70" i="5"/>
  <c r="Q70" i="5" s="1"/>
  <c r="L70" i="5"/>
  <c r="I70" i="5"/>
  <c r="F70" i="5"/>
  <c r="P70" i="5" s="1"/>
  <c r="D70" i="5"/>
  <c r="E70" i="5" s="1"/>
  <c r="C70" i="5"/>
  <c r="M69" i="5"/>
  <c r="L69" i="5"/>
  <c r="I69" i="5"/>
  <c r="F69" i="5"/>
  <c r="E69" i="5"/>
  <c r="D69" i="5"/>
  <c r="C69" i="5"/>
  <c r="N68" i="5"/>
  <c r="M68" i="5"/>
  <c r="L68" i="5"/>
  <c r="I68" i="5"/>
  <c r="E68" i="5"/>
  <c r="D68" i="5"/>
  <c r="F68" i="5" s="1"/>
  <c r="Q68" i="5" s="1"/>
  <c r="C68" i="5"/>
  <c r="M67" i="5"/>
  <c r="N67" i="5" s="1"/>
  <c r="L67" i="5"/>
  <c r="I67" i="5"/>
  <c r="D67" i="5"/>
  <c r="F67" i="5" s="1"/>
  <c r="P67" i="5" s="1"/>
  <c r="C67" i="5"/>
  <c r="N66" i="5"/>
  <c r="O66" i="5" s="1"/>
  <c r="M66" i="5"/>
  <c r="L66" i="5"/>
  <c r="I66" i="5"/>
  <c r="F66" i="5"/>
  <c r="D66" i="5"/>
  <c r="E66" i="5" s="1"/>
  <c r="C66" i="5"/>
  <c r="M65" i="5"/>
  <c r="L65" i="5"/>
  <c r="I65" i="5"/>
  <c r="F65" i="5"/>
  <c r="E65" i="5"/>
  <c r="D65" i="5"/>
  <c r="C65" i="5"/>
  <c r="N64" i="5"/>
  <c r="M64" i="5"/>
  <c r="L64" i="5"/>
  <c r="I64" i="5"/>
  <c r="E64" i="5"/>
  <c r="D64" i="5"/>
  <c r="F64" i="5" s="1"/>
  <c r="P64" i="5" s="1"/>
  <c r="C64" i="5"/>
  <c r="O63" i="5"/>
  <c r="M63" i="5"/>
  <c r="N63" i="5" s="1"/>
  <c r="L63" i="5"/>
  <c r="I63" i="5"/>
  <c r="D63" i="5"/>
  <c r="C63" i="5"/>
  <c r="O62" i="5"/>
  <c r="N62" i="5"/>
  <c r="M62" i="5"/>
  <c r="L62" i="5"/>
  <c r="I62" i="5"/>
  <c r="F62" i="5"/>
  <c r="P62" i="5" s="1"/>
  <c r="D62" i="5"/>
  <c r="E62" i="5" s="1"/>
  <c r="C62" i="5"/>
  <c r="M61" i="5"/>
  <c r="L61" i="5"/>
  <c r="I61" i="5"/>
  <c r="F61" i="5"/>
  <c r="Q61" i="5" s="1"/>
  <c r="E61" i="5"/>
  <c r="D61" i="5"/>
  <c r="C61" i="5"/>
  <c r="M60" i="5"/>
  <c r="L60" i="5"/>
  <c r="I60" i="5"/>
  <c r="F60" i="5"/>
  <c r="E60" i="5"/>
  <c r="D60" i="5"/>
  <c r="C60" i="5"/>
  <c r="M59" i="5"/>
  <c r="L59" i="5"/>
  <c r="I59" i="5"/>
  <c r="D59" i="5"/>
  <c r="C59" i="5"/>
  <c r="M58" i="5"/>
  <c r="N58" i="5" s="1"/>
  <c r="O58" i="5" s="1"/>
  <c r="L58" i="5"/>
  <c r="I58" i="5"/>
  <c r="E58" i="5"/>
  <c r="D58" i="5"/>
  <c r="F58" i="5" s="1"/>
  <c r="C58" i="5"/>
  <c r="N57" i="5"/>
  <c r="M57" i="5"/>
  <c r="L57" i="5"/>
  <c r="I57" i="5"/>
  <c r="F57" i="5"/>
  <c r="D57" i="5"/>
  <c r="E57" i="5" s="1"/>
  <c r="C57" i="5"/>
  <c r="N56" i="5"/>
  <c r="O56" i="5" s="1"/>
  <c r="M56" i="5"/>
  <c r="L56" i="5"/>
  <c r="I56" i="5"/>
  <c r="E56" i="5"/>
  <c r="D56" i="5"/>
  <c r="F56" i="5" s="1"/>
  <c r="Q56" i="5" s="1"/>
  <c r="C56" i="5"/>
  <c r="N55" i="5"/>
  <c r="M55" i="5"/>
  <c r="O55" i="5" s="1"/>
  <c r="L55" i="5"/>
  <c r="I55" i="5"/>
  <c r="F55" i="5"/>
  <c r="P55" i="5" s="1"/>
  <c r="E55" i="5"/>
  <c r="D55" i="5"/>
  <c r="C55" i="5"/>
  <c r="M54" i="5"/>
  <c r="L54" i="5"/>
  <c r="I54" i="5"/>
  <c r="E54" i="5"/>
  <c r="D54" i="5"/>
  <c r="F54" i="5" s="1"/>
  <c r="C54" i="5"/>
  <c r="O53" i="5"/>
  <c r="N53" i="5"/>
  <c r="M53" i="5"/>
  <c r="L53" i="5"/>
  <c r="I53" i="5"/>
  <c r="D53" i="5"/>
  <c r="F53" i="5" s="1"/>
  <c r="C53" i="5"/>
  <c r="M52" i="5"/>
  <c r="L52" i="5"/>
  <c r="I52" i="5"/>
  <c r="F52" i="5"/>
  <c r="E52" i="5"/>
  <c r="D52" i="5"/>
  <c r="C52" i="5"/>
  <c r="M51" i="5"/>
  <c r="L51" i="5"/>
  <c r="I51" i="5"/>
  <c r="D51" i="5"/>
  <c r="C51" i="5"/>
  <c r="M50" i="5"/>
  <c r="N50" i="5" s="1"/>
  <c r="O50" i="5" s="1"/>
  <c r="L50" i="5"/>
  <c r="I50" i="5"/>
  <c r="D50" i="5"/>
  <c r="F50" i="5" s="1"/>
  <c r="C50" i="5"/>
  <c r="N49" i="5"/>
  <c r="M49" i="5"/>
  <c r="L49" i="5"/>
  <c r="I49" i="5"/>
  <c r="F49" i="5"/>
  <c r="D49" i="5"/>
  <c r="E49" i="5" s="1"/>
  <c r="C49" i="5"/>
  <c r="P48" i="5"/>
  <c r="N48" i="5"/>
  <c r="O48" i="5" s="1"/>
  <c r="M48" i="5"/>
  <c r="L48" i="5"/>
  <c r="I48" i="5"/>
  <c r="D48" i="5"/>
  <c r="F48" i="5" s="1"/>
  <c r="Q48" i="5" s="1"/>
  <c r="C48" i="5"/>
  <c r="P47" i="5"/>
  <c r="N47" i="5"/>
  <c r="M47" i="5"/>
  <c r="O47" i="5" s="1"/>
  <c r="L47" i="5"/>
  <c r="I47" i="5"/>
  <c r="F47" i="5"/>
  <c r="Q47" i="5" s="1"/>
  <c r="E47" i="5"/>
  <c r="D47" i="5"/>
  <c r="C47" i="5"/>
  <c r="M46" i="5"/>
  <c r="L46" i="5"/>
  <c r="I46" i="5"/>
  <c r="E46" i="5"/>
  <c r="D46" i="5"/>
  <c r="F46" i="5" s="1"/>
  <c r="C46" i="5"/>
  <c r="N45" i="5"/>
  <c r="O45" i="5" s="1"/>
  <c r="M45" i="5"/>
  <c r="L45" i="5"/>
  <c r="I45" i="5"/>
  <c r="F45" i="5"/>
  <c r="P45" i="5" s="1"/>
  <c r="E45" i="5"/>
  <c r="D45" i="5"/>
  <c r="C45" i="5"/>
  <c r="M44" i="5"/>
  <c r="L44" i="5"/>
  <c r="I44" i="5"/>
  <c r="F44" i="5"/>
  <c r="E44" i="5"/>
  <c r="D44" i="5"/>
  <c r="C44" i="5"/>
  <c r="N43" i="5"/>
  <c r="M43" i="5"/>
  <c r="L43" i="5"/>
  <c r="I43" i="5"/>
  <c r="D43" i="5"/>
  <c r="C43" i="5"/>
  <c r="O42" i="5"/>
  <c r="M42" i="5"/>
  <c r="N42" i="5" s="1"/>
  <c r="L42" i="5"/>
  <c r="I42" i="5"/>
  <c r="D42" i="5"/>
  <c r="F42" i="5" s="1"/>
  <c r="C42" i="5"/>
  <c r="N41" i="5"/>
  <c r="M41" i="5"/>
  <c r="L41" i="5"/>
  <c r="I41" i="5"/>
  <c r="F41" i="5"/>
  <c r="D41" i="5"/>
  <c r="E41" i="5" s="1"/>
  <c r="C41" i="5"/>
  <c r="P40" i="5"/>
  <c r="N40" i="5"/>
  <c r="O40" i="5" s="1"/>
  <c r="M40" i="5"/>
  <c r="L40" i="5"/>
  <c r="I40" i="5"/>
  <c r="D40" i="5"/>
  <c r="F40" i="5" s="1"/>
  <c r="Q40" i="5" s="1"/>
  <c r="C40" i="5"/>
  <c r="N39" i="5"/>
  <c r="M39" i="5"/>
  <c r="O39" i="5" s="1"/>
  <c r="L39" i="5"/>
  <c r="I39" i="5"/>
  <c r="E39" i="5"/>
  <c r="D39" i="5"/>
  <c r="F39" i="5" s="1"/>
  <c r="C39" i="5"/>
  <c r="M38" i="5"/>
  <c r="L38" i="5"/>
  <c r="I38" i="5"/>
  <c r="E38" i="5"/>
  <c r="D38" i="5"/>
  <c r="F38" i="5" s="1"/>
  <c r="C38" i="5"/>
  <c r="N37" i="5"/>
  <c r="O37" i="5" s="1"/>
  <c r="M37" i="5"/>
  <c r="L37" i="5"/>
  <c r="I37" i="5"/>
  <c r="F37" i="5"/>
  <c r="P37" i="5" s="1"/>
  <c r="E37" i="5"/>
  <c r="D37" i="5"/>
  <c r="C37" i="5"/>
  <c r="M36" i="5"/>
  <c r="Q36" i="5" s="1"/>
  <c r="L36" i="5"/>
  <c r="I36" i="5"/>
  <c r="F36" i="5"/>
  <c r="E36" i="5"/>
  <c r="D36" i="5"/>
  <c r="C36" i="5"/>
  <c r="N35" i="5"/>
  <c r="M35" i="5"/>
  <c r="L35" i="5"/>
  <c r="I35" i="5"/>
  <c r="D35" i="5"/>
  <c r="C35" i="5"/>
  <c r="O34" i="5"/>
  <c r="M34" i="5"/>
  <c r="N34" i="5" s="1"/>
  <c r="L34" i="5"/>
  <c r="I34" i="5"/>
  <c r="D34" i="5"/>
  <c r="F34" i="5" s="1"/>
  <c r="C34" i="5"/>
  <c r="N33" i="5"/>
  <c r="M33" i="5"/>
  <c r="L33" i="5"/>
  <c r="I33" i="5"/>
  <c r="F33" i="5"/>
  <c r="D33" i="5"/>
  <c r="E33" i="5" s="1"/>
  <c r="C33" i="5"/>
  <c r="P32" i="5"/>
  <c r="N32" i="5"/>
  <c r="O32" i="5" s="1"/>
  <c r="M32" i="5"/>
  <c r="L32" i="5"/>
  <c r="I32" i="5"/>
  <c r="D32" i="5"/>
  <c r="F32" i="5" s="1"/>
  <c r="Q32" i="5" s="1"/>
  <c r="C32" i="5"/>
  <c r="N31" i="5"/>
  <c r="M31" i="5"/>
  <c r="O31" i="5" s="1"/>
  <c r="L31" i="5"/>
  <c r="I31" i="5"/>
  <c r="E31" i="5"/>
  <c r="D31" i="5"/>
  <c r="F31" i="5" s="1"/>
  <c r="C31" i="5"/>
  <c r="M30" i="5"/>
  <c r="L30" i="5"/>
  <c r="I30" i="5"/>
  <c r="E30" i="5"/>
  <c r="D30" i="5"/>
  <c r="F30" i="5" s="1"/>
  <c r="C30" i="5"/>
  <c r="N29" i="5"/>
  <c r="O29" i="5" s="1"/>
  <c r="M29" i="5"/>
  <c r="L29" i="5"/>
  <c r="I29" i="5"/>
  <c r="F29" i="5"/>
  <c r="P29" i="5" s="1"/>
  <c r="E29" i="5"/>
  <c r="D29" i="5"/>
  <c r="C29" i="5"/>
  <c r="M28" i="5"/>
  <c r="L28" i="5"/>
  <c r="I28" i="5"/>
  <c r="F28" i="5"/>
  <c r="E28" i="5"/>
  <c r="D28" i="5"/>
  <c r="C28" i="5"/>
  <c r="M27" i="5"/>
  <c r="L27" i="5"/>
  <c r="I27" i="5"/>
  <c r="D27" i="5"/>
  <c r="C27" i="5"/>
  <c r="M26" i="5"/>
  <c r="N26" i="5" s="1"/>
  <c r="O26" i="5" s="1"/>
  <c r="L26" i="5"/>
  <c r="I26" i="5"/>
  <c r="D26" i="5"/>
  <c r="F26" i="5" s="1"/>
  <c r="C26" i="5"/>
  <c r="M25" i="5"/>
  <c r="L25" i="5"/>
  <c r="I25" i="5"/>
  <c r="F25" i="5"/>
  <c r="D25" i="5"/>
  <c r="E25" i="5" s="1"/>
  <c r="C25" i="5"/>
  <c r="P24" i="5"/>
  <c r="N24" i="5"/>
  <c r="O24" i="5" s="1"/>
  <c r="M24" i="5"/>
  <c r="L24" i="5"/>
  <c r="I24" i="5"/>
  <c r="D24" i="5"/>
  <c r="F24" i="5" s="1"/>
  <c r="Q24" i="5" s="1"/>
  <c r="C24" i="5"/>
  <c r="N23" i="5"/>
  <c r="M23" i="5"/>
  <c r="O23" i="5" s="1"/>
  <c r="L23" i="5"/>
  <c r="I23" i="5"/>
  <c r="D23" i="5"/>
  <c r="E23" i="5" s="1"/>
  <c r="C23" i="5"/>
  <c r="M22" i="5"/>
  <c r="L22" i="5"/>
  <c r="I22" i="5"/>
  <c r="E22" i="5"/>
  <c r="D22" i="5"/>
  <c r="F22" i="5" s="1"/>
  <c r="C22" i="5"/>
  <c r="N21" i="5"/>
  <c r="O21" i="5" s="1"/>
  <c r="M21" i="5"/>
  <c r="L21" i="5"/>
  <c r="I21" i="5"/>
  <c r="F21" i="5"/>
  <c r="P21" i="5" s="1"/>
  <c r="E21" i="5"/>
  <c r="D21" i="5"/>
  <c r="C21" i="5"/>
  <c r="M20" i="5"/>
  <c r="L20" i="5"/>
  <c r="I20" i="5"/>
  <c r="F20" i="5"/>
  <c r="E20" i="5"/>
  <c r="D20" i="5"/>
  <c r="C20" i="5"/>
  <c r="M19" i="5"/>
  <c r="L19" i="5"/>
  <c r="I19" i="5"/>
  <c r="D19" i="5"/>
  <c r="C19" i="5"/>
  <c r="M18" i="5"/>
  <c r="N18" i="5" s="1"/>
  <c r="O18" i="5" s="1"/>
  <c r="L18" i="5"/>
  <c r="I18" i="5"/>
  <c r="D18" i="5"/>
  <c r="F18" i="5" s="1"/>
  <c r="C18" i="5"/>
  <c r="M17" i="5"/>
  <c r="N17" i="5" s="1"/>
  <c r="L17" i="5"/>
  <c r="I17" i="5"/>
  <c r="F17" i="5"/>
  <c r="D17" i="5"/>
  <c r="E17" i="5" s="1"/>
  <c r="C17" i="5"/>
  <c r="P16" i="5"/>
  <c r="N16" i="5"/>
  <c r="O16" i="5" s="1"/>
  <c r="M16" i="5"/>
  <c r="Q16" i="5" s="1"/>
  <c r="L16" i="5"/>
  <c r="I16" i="5"/>
  <c r="D16" i="5"/>
  <c r="F16" i="5" s="1"/>
  <c r="C16" i="5"/>
  <c r="L15" i="5"/>
  <c r="D15" i="5"/>
  <c r="C15" i="5"/>
  <c r="L14" i="5"/>
  <c r="D14" i="5"/>
  <c r="C14" i="5"/>
  <c r="L13" i="5"/>
  <c r="E13" i="5"/>
  <c r="D13" i="5"/>
  <c r="C13" i="5"/>
  <c r="L12" i="5"/>
  <c r="D12" i="5"/>
  <c r="C12" i="5"/>
  <c r="L11" i="5"/>
  <c r="F11" i="5"/>
  <c r="E11" i="5"/>
  <c r="D11" i="5"/>
  <c r="C11" i="5"/>
  <c r="L10" i="5"/>
  <c r="D10" i="5"/>
  <c r="C10" i="5"/>
  <c r="L9" i="5"/>
  <c r="D9" i="5"/>
  <c r="C9" i="5"/>
  <c r="L8" i="5"/>
  <c r="D8" i="5"/>
  <c r="F8" i="5" s="1"/>
  <c r="C8" i="5"/>
  <c r="L7" i="5"/>
  <c r="F7" i="5"/>
  <c r="E7" i="5"/>
  <c r="D7" i="5"/>
  <c r="C7" i="5"/>
  <c r="B21" i="4"/>
  <c r="F18" i="4"/>
  <c r="E18" i="4"/>
  <c r="D18" i="4"/>
  <c r="C18" i="4"/>
  <c r="F17" i="4"/>
  <c r="E17" i="4"/>
  <c r="D17" i="4"/>
  <c r="C17" i="4"/>
  <c r="F16" i="4"/>
  <c r="E16" i="4"/>
  <c r="D16" i="4"/>
  <c r="C16" i="4"/>
  <c r="F15" i="4"/>
  <c r="E15" i="4"/>
  <c r="D15" i="4"/>
  <c r="C15" i="4"/>
  <c r="F14" i="4"/>
  <c r="E14" i="4"/>
  <c r="D14" i="4"/>
  <c r="C14" i="4"/>
  <c r="F13" i="4"/>
  <c r="E13" i="4"/>
  <c r="D13" i="4"/>
  <c r="C13" i="4"/>
  <c r="F12" i="4"/>
  <c r="E12" i="4"/>
  <c r="D12" i="4"/>
  <c r="C12" i="4"/>
  <c r="F11" i="4"/>
  <c r="E11" i="4"/>
  <c r="D11" i="4"/>
  <c r="C11" i="4"/>
  <c r="F10" i="4"/>
  <c r="E10" i="4"/>
  <c r="D10" i="4"/>
  <c r="C10" i="4"/>
  <c r="F9" i="4"/>
  <c r="E9" i="4"/>
  <c r="D9" i="4"/>
  <c r="C9" i="4"/>
  <c r="F8" i="4"/>
  <c r="E8" i="4"/>
  <c r="D8" i="4"/>
  <c r="C8" i="4"/>
  <c r="F7" i="4"/>
  <c r="B20" i="3"/>
  <c r="B21" i="3" s="1"/>
  <c r="E12" i="6" s="1"/>
  <c r="G15" i="3"/>
  <c r="H15" i="3" s="1"/>
  <c r="F15" i="5" s="1"/>
  <c r="G14" i="3"/>
  <c r="H14" i="3" s="1"/>
  <c r="H13" i="3"/>
  <c r="F13" i="5" s="1"/>
  <c r="G13" i="3"/>
  <c r="G12" i="3"/>
  <c r="H12" i="3" s="1"/>
  <c r="G11" i="3"/>
  <c r="H11" i="3" s="1"/>
  <c r="G10" i="3"/>
  <c r="H10" i="3" s="1"/>
  <c r="H9" i="3"/>
  <c r="F9" i="5" s="1"/>
  <c r="G9" i="3"/>
  <c r="E9" i="5" s="1"/>
  <c r="H8" i="3"/>
  <c r="D7" i="4" s="1"/>
  <c r="G8" i="3"/>
  <c r="G7" i="3"/>
  <c r="H7" i="3" s="1"/>
  <c r="C50" i="6" l="1"/>
  <c r="B10" i="6"/>
  <c r="D21" i="4"/>
  <c r="Q26" i="5"/>
  <c r="P26" i="5"/>
  <c r="Q53" i="5"/>
  <c r="P53" i="5"/>
  <c r="G9" i="5"/>
  <c r="Q34" i="5"/>
  <c r="P34" i="5"/>
  <c r="P42" i="5"/>
  <c r="Q42" i="5"/>
  <c r="Q31" i="5"/>
  <c r="P31" i="5"/>
  <c r="G15" i="5"/>
  <c r="Q50" i="5"/>
  <c r="P50" i="5"/>
  <c r="Q39" i="5"/>
  <c r="P39" i="5"/>
  <c r="G13" i="5"/>
  <c r="Q18" i="5"/>
  <c r="P18" i="5"/>
  <c r="Q58" i="5"/>
  <c r="P58" i="5"/>
  <c r="E10" i="5"/>
  <c r="Q21" i="5"/>
  <c r="Q29" i="5"/>
  <c r="Q37" i="5"/>
  <c r="Q45" i="5"/>
  <c r="P56" i="5"/>
  <c r="O60" i="5"/>
  <c r="Q60" i="5"/>
  <c r="P60" i="5"/>
  <c r="N60" i="5"/>
  <c r="P65" i="5"/>
  <c r="Q65" i="5"/>
  <c r="N65" i="5"/>
  <c r="O65" i="5" s="1"/>
  <c r="Q51" i="5"/>
  <c r="Q33" i="5"/>
  <c r="P33" i="5"/>
  <c r="O33" i="5"/>
  <c r="Q41" i="5"/>
  <c r="P41" i="5"/>
  <c r="O41" i="5"/>
  <c r="Q43" i="5"/>
  <c r="Q49" i="5"/>
  <c r="P49" i="5"/>
  <c r="O49" i="5"/>
  <c r="N51" i="5"/>
  <c r="O51" i="5" s="1"/>
  <c r="E67" i="5"/>
  <c r="Q25" i="5"/>
  <c r="P25" i="5"/>
  <c r="O25" i="5"/>
  <c r="P52" i="5"/>
  <c r="N52" i="5"/>
  <c r="O52" i="5" s="1"/>
  <c r="Q52" i="5"/>
  <c r="F59" i="5"/>
  <c r="P59" i="5" s="1"/>
  <c r="E59" i="5"/>
  <c r="F63" i="5"/>
  <c r="E63" i="5"/>
  <c r="Q66" i="5"/>
  <c r="P66" i="5"/>
  <c r="Q80" i="5"/>
  <c r="P80" i="5"/>
  <c r="F84" i="5"/>
  <c r="E84" i="5"/>
  <c r="F12" i="5"/>
  <c r="G11" i="5"/>
  <c r="E12" i="5"/>
  <c r="F14" i="5"/>
  <c r="N19" i="5"/>
  <c r="O19" i="5" s="1"/>
  <c r="E14" i="5"/>
  <c r="E15" i="5"/>
  <c r="P20" i="5"/>
  <c r="N20" i="5"/>
  <c r="O20" i="5" s="1"/>
  <c r="F23" i="5"/>
  <c r="O27" i="5"/>
  <c r="O35" i="5"/>
  <c r="P44" i="5"/>
  <c r="N44" i="5"/>
  <c r="O44" i="5" s="1"/>
  <c r="Q54" i="5"/>
  <c r="P54" i="5"/>
  <c r="N80" i="5"/>
  <c r="O80" i="5" s="1"/>
  <c r="Q17" i="5"/>
  <c r="P17" i="5"/>
  <c r="O17" i="5"/>
  <c r="E32" i="5"/>
  <c r="P35" i="5"/>
  <c r="E40" i="5"/>
  <c r="P43" i="5"/>
  <c r="Q44" i="5"/>
  <c r="E48" i="5"/>
  <c r="N54" i="5"/>
  <c r="N71" i="5"/>
  <c r="Q71" i="5"/>
  <c r="P71" i="5"/>
  <c r="O71" i="5"/>
  <c r="Q72" i="5"/>
  <c r="N75" i="5"/>
  <c r="O75" i="5" s="1"/>
  <c r="Q75" i="5"/>
  <c r="P75" i="5"/>
  <c r="E83" i="5"/>
  <c r="Q88" i="5"/>
  <c r="N25" i="5"/>
  <c r="N27" i="5"/>
  <c r="B68" i="6"/>
  <c r="P28" i="5"/>
  <c r="N28" i="5"/>
  <c r="O28" i="5" s="1"/>
  <c r="O43" i="5"/>
  <c r="G7" i="5"/>
  <c r="E8" i="5"/>
  <c r="E16" i="5"/>
  <c r="J67" i="6" s="1"/>
  <c r="P19" i="5"/>
  <c r="Q20" i="5"/>
  <c r="E24" i="5"/>
  <c r="Q28" i="5"/>
  <c r="C7" i="4"/>
  <c r="G8" i="5"/>
  <c r="E18" i="5"/>
  <c r="Q22" i="5"/>
  <c r="P22" i="5"/>
  <c r="E26" i="5"/>
  <c r="Q30" i="5"/>
  <c r="P30" i="5"/>
  <c r="E34" i="5"/>
  <c r="Q38" i="5"/>
  <c r="P38" i="5"/>
  <c r="E42" i="5"/>
  <c r="Q46" i="5"/>
  <c r="P46" i="5"/>
  <c r="E50" i="5"/>
  <c r="F51" i="5"/>
  <c r="J75" i="6" s="1"/>
  <c r="E51" i="5"/>
  <c r="E53" i="5"/>
  <c r="J68" i="6" s="1"/>
  <c r="O54" i="5"/>
  <c r="Q67" i="5"/>
  <c r="P68" i="5"/>
  <c r="P69" i="5"/>
  <c r="Q69" i="5"/>
  <c r="F82" i="5"/>
  <c r="P82" i="5" s="1"/>
  <c r="P36" i="5"/>
  <c r="O36" i="5"/>
  <c r="N36" i="5"/>
  <c r="F10" i="5"/>
  <c r="F19" i="5"/>
  <c r="Q19" i="5" s="1"/>
  <c r="E19" i="5"/>
  <c r="N22" i="5"/>
  <c r="O22" i="5" s="1"/>
  <c r="F27" i="5"/>
  <c r="J69" i="6" s="1"/>
  <c r="E27" i="5"/>
  <c r="N30" i="5"/>
  <c r="O30" i="5" s="1"/>
  <c r="F35" i="5"/>
  <c r="Q35" i="5" s="1"/>
  <c r="E35" i="5"/>
  <c r="N38" i="5"/>
  <c r="O38" i="5" s="1"/>
  <c r="F43" i="5"/>
  <c r="B67" i="6" s="1"/>
  <c r="E43" i="5"/>
  <c r="N46" i="5"/>
  <c r="O46" i="5" s="1"/>
  <c r="Q55" i="5"/>
  <c r="Q57" i="5"/>
  <c r="P57" i="5"/>
  <c r="O57" i="5"/>
  <c r="N59" i="5"/>
  <c r="O59" i="5" s="1"/>
  <c r="O64" i="5"/>
  <c r="Q64" i="5"/>
  <c r="N69" i="5"/>
  <c r="O69" i="5" s="1"/>
  <c r="E78" i="5"/>
  <c r="F78" i="5"/>
  <c r="O68" i="5"/>
  <c r="O84" i="5"/>
  <c r="P100" i="5"/>
  <c r="O100" i="5"/>
  <c r="N113" i="5"/>
  <c r="O113" i="5" s="1"/>
  <c r="Q113" i="5"/>
  <c r="P113" i="5"/>
  <c r="B44" i="6"/>
  <c r="P111" i="5"/>
  <c r="N111" i="5"/>
  <c r="O111" i="5" s="1"/>
  <c r="I51" i="6"/>
  <c r="C40" i="6"/>
  <c r="O96" i="5"/>
  <c r="F98" i="5"/>
  <c r="P98" i="5" s="1"/>
  <c r="O103" i="5"/>
  <c r="N103" i="5"/>
  <c r="F106" i="5"/>
  <c r="P106" i="5" s="1"/>
  <c r="Q111" i="5"/>
  <c r="N33" i="6"/>
  <c r="D38" i="6"/>
  <c r="O52" i="6"/>
  <c r="D39" i="6" s="1"/>
  <c r="P53" i="6"/>
  <c r="E44" i="6" s="1"/>
  <c r="E43" i="6"/>
  <c r="J38" i="6"/>
  <c r="O58" i="6"/>
  <c r="J39" i="6" s="1"/>
  <c r="L38" i="6"/>
  <c r="O60" i="6"/>
  <c r="L39" i="6" s="1"/>
  <c r="P81" i="5"/>
  <c r="O85" i="5"/>
  <c r="P91" i="5"/>
  <c r="O92" i="5"/>
  <c r="F94" i="5"/>
  <c r="P94" i="5" s="1"/>
  <c r="P96" i="5"/>
  <c r="P97" i="5"/>
  <c r="Q103" i="5"/>
  <c r="N104" i="5"/>
  <c r="O104" i="5" s="1"/>
  <c r="F114" i="5"/>
  <c r="P114" i="5" s="1"/>
  <c r="O54" i="6"/>
  <c r="F39" i="6" s="1"/>
  <c r="F38" i="6"/>
  <c r="H38" i="6"/>
  <c r="O56" i="6"/>
  <c r="H39" i="6" s="1"/>
  <c r="I59" i="6"/>
  <c r="K40" i="6"/>
  <c r="P61" i="6"/>
  <c r="M44" i="6" s="1"/>
  <c r="M43" i="6"/>
  <c r="N76" i="5"/>
  <c r="O76" i="5" s="1"/>
  <c r="E79" i="5"/>
  <c r="N81" i="5"/>
  <c r="O81" i="5" s="1"/>
  <c r="Q85" i="5"/>
  <c r="O87" i="5"/>
  <c r="Q91" i="5"/>
  <c r="N92" i="5"/>
  <c r="E95" i="5"/>
  <c r="Q96" i="5"/>
  <c r="N97" i="5"/>
  <c r="O97" i="5" s="1"/>
  <c r="Q98" i="5"/>
  <c r="P104" i="5"/>
  <c r="Q105" i="5"/>
  <c r="P105" i="5"/>
  <c r="Q106" i="5"/>
  <c r="F110" i="5"/>
  <c r="B71" i="6" s="1"/>
  <c r="E110" i="5"/>
  <c r="J71" i="6" s="1"/>
  <c r="F112" i="5"/>
  <c r="G37" i="6"/>
  <c r="K55" i="6"/>
  <c r="I34" i="6"/>
  <c r="P61" i="5"/>
  <c r="O72" i="5"/>
  <c r="P76" i="5"/>
  <c r="P77" i="5"/>
  <c r="P87" i="5"/>
  <c r="F90" i="5"/>
  <c r="P92" i="5"/>
  <c r="P93" i="5"/>
  <c r="E96" i="5"/>
  <c r="F102" i="5"/>
  <c r="E102" i="5"/>
  <c r="Q104" i="5"/>
  <c r="N105" i="5"/>
  <c r="P107" i="5"/>
  <c r="N107" i="5"/>
  <c r="O107" i="5" s="1"/>
  <c r="N61" i="5"/>
  <c r="O61" i="5" s="1"/>
  <c r="Q62" i="5"/>
  <c r="O67" i="5"/>
  <c r="N72" i="5"/>
  <c r="E75" i="5"/>
  <c r="Q76" i="5"/>
  <c r="N77" i="5"/>
  <c r="O77" i="5" s="1"/>
  <c r="Q81" i="5"/>
  <c r="O83" i="5"/>
  <c r="Q87" i="5"/>
  <c r="N88" i="5"/>
  <c r="O88" i="5" s="1"/>
  <c r="E91" i="5"/>
  <c r="Q92" i="5"/>
  <c r="N93" i="5"/>
  <c r="O93" i="5" s="1"/>
  <c r="Q97" i="5"/>
  <c r="O99" i="5"/>
  <c r="E103" i="5"/>
  <c r="O105" i="5"/>
  <c r="P108" i="5"/>
  <c r="Q114" i="5"/>
  <c r="B43" i="6"/>
  <c r="D57" i="6"/>
  <c r="I35" i="6" s="1"/>
  <c r="O108" i="5"/>
  <c r="E33" i="6"/>
  <c r="H34" i="6"/>
  <c r="F36" i="6"/>
  <c r="J40" i="6"/>
  <c r="H51" i="6"/>
  <c r="J53" i="6"/>
  <c r="C55" i="6"/>
  <c r="I56" i="6"/>
  <c r="E57" i="6"/>
  <c r="H59" i="6"/>
  <c r="J61" i="6"/>
  <c r="D55" i="6"/>
  <c r="G35" i="6" s="1"/>
  <c r="C58" i="6"/>
  <c r="O114" i="5"/>
  <c r="B25" i="6"/>
  <c r="N42" i="6" s="1"/>
  <c r="G33" i="6"/>
  <c r="D40" i="6"/>
  <c r="J51" i="6"/>
  <c r="C53" i="6"/>
  <c r="I54" i="6"/>
  <c r="E55" i="6"/>
  <c r="H57" i="6"/>
  <c r="J59" i="6"/>
  <c r="C61" i="6"/>
  <c r="D37" i="6"/>
  <c r="I33" i="6"/>
  <c r="D34" i="6"/>
  <c r="L34" i="6"/>
  <c r="C51" i="6"/>
  <c r="E53" i="6"/>
  <c r="H55" i="6"/>
  <c r="J57" i="6"/>
  <c r="C59" i="6"/>
  <c r="E61" i="6"/>
  <c r="D59" i="6"/>
  <c r="K35" i="6" s="1"/>
  <c r="C33" i="6"/>
  <c r="K33" i="6"/>
  <c r="G43" i="6" l="1"/>
  <c r="P55" i="6"/>
  <c r="G44" i="6" s="1"/>
  <c r="N43" i="6"/>
  <c r="B9" i="6"/>
  <c r="C21" i="4"/>
  <c r="J74" i="6"/>
  <c r="B74" i="6"/>
  <c r="G14" i="5"/>
  <c r="I55" i="6"/>
  <c r="G40" i="6"/>
  <c r="M40" i="6"/>
  <c r="I61" i="6"/>
  <c r="K51" i="6"/>
  <c r="C37" i="6"/>
  <c r="P59" i="6"/>
  <c r="K44" i="6" s="1"/>
  <c r="K43" i="6"/>
  <c r="G38" i="6"/>
  <c r="O55" i="6"/>
  <c r="G39" i="6" s="1"/>
  <c r="K34" i="6"/>
  <c r="K36" i="6"/>
  <c r="I57" i="6"/>
  <c r="I40" i="6"/>
  <c r="Q102" i="5"/>
  <c r="P102" i="5"/>
  <c r="Q82" i="5"/>
  <c r="Q78" i="5"/>
  <c r="P78" i="5"/>
  <c r="Q59" i="5"/>
  <c r="M36" i="6"/>
  <c r="M34" i="6"/>
  <c r="Q112" i="5"/>
  <c r="P112" i="5"/>
  <c r="Q27" i="5"/>
  <c r="G36" i="6"/>
  <c r="G34" i="6"/>
  <c r="K59" i="6"/>
  <c r="K37" i="6"/>
  <c r="E40" i="6"/>
  <c r="I53" i="6"/>
  <c r="Q84" i="5"/>
  <c r="P84" i="5"/>
  <c r="Q23" i="5"/>
  <c r="P23" i="5"/>
  <c r="K57" i="6"/>
  <c r="I37" i="6"/>
  <c r="Q63" i="5"/>
  <c r="P63" i="5"/>
  <c r="I43" i="6"/>
  <c r="P57" i="6"/>
  <c r="I44" i="6" s="1"/>
  <c r="E37" i="6"/>
  <c r="K53" i="6"/>
  <c r="Q94" i="5"/>
  <c r="Q110" i="5"/>
  <c r="P110" i="5"/>
  <c r="C34" i="6"/>
  <c r="C36" i="6"/>
  <c r="J36" i="6"/>
  <c r="J34" i="6"/>
  <c r="P51" i="6"/>
  <c r="C43" i="6"/>
  <c r="B27" i="6"/>
  <c r="M15" i="5"/>
  <c r="I15" i="5"/>
  <c r="E7" i="4"/>
  <c r="Q90" i="5"/>
  <c r="P90" i="5"/>
  <c r="P27" i="5"/>
  <c r="M11" i="5"/>
  <c r="I11" i="5"/>
  <c r="M13" i="5"/>
  <c r="I13" i="5"/>
  <c r="B75" i="6"/>
  <c r="M9" i="5"/>
  <c r="I9" i="5"/>
  <c r="P51" i="5"/>
  <c r="E36" i="6"/>
  <c r="E34" i="6"/>
  <c r="M37" i="6"/>
  <c r="K61" i="6"/>
  <c r="I36" i="6"/>
  <c r="J70" i="6"/>
  <c r="B70" i="6"/>
  <c r="G10" i="5"/>
  <c r="B73" i="6"/>
  <c r="B69" i="6"/>
  <c r="N34" i="6"/>
  <c r="B14" i="6"/>
  <c r="I8" i="5"/>
  <c r="M8" i="5"/>
  <c r="M7" i="5"/>
  <c r="I7" i="5"/>
  <c r="J72" i="6"/>
  <c r="B72" i="6"/>
  <c r="G12" i="5"/>
  <c r="J73" i="6"/>
  <c r="B34" i="6"/>
  <c r="C75" i="6" l="1"/>
  <c r="E75" i="6" s="1"/>
  <c r="N15" i="5"/>
  <c r="D75" i="6" s="1"/>
  <c r="P15" i="5"/>
  <c r="Q15" i="5"/>
  <c r="O51" i="6"/>
  <c r="C39" i="6" s="1"/>
  <c r="C38" i="6"/>
  <c r="B12" i="6"/>
  <c r="N40" i="6" s="1"/>
  <c r="E50" i="6"/>
  <c r="E21" i="4"/>
  <c r="I14" i="5"/>
  <c r="M14" i="5"/>
  <c r="I12" i="5"/>
  <c r="M12" i="5"/>
  <c r="C71" i="6"/>
  <c r="E71" i="6" s="1"/>
  <c r="O11" i="5"/>
  <c r="P11" i="5"/>
  <c r="N11" i="5"/>
  <c r="D71" i="6" s="1"/>
  <c r="Q11" i="5"/>
  <c r="O57" i="6"/>
  <c r="I39" i="6" s="1"/>
  <c r="I38" i="6"/>
  <c r="O59" i="6"/>
  <c r="K39" i="6" s="1"/>
  <c r="K38" i="6"/>
  <c r="C73" i="6"/>
  <c r="E73" i="6" s="1"/>
  <c r="O13" i="5"/>
  <c r="N13" i="5"/>
  <c r="D73" i="6" s="1"/>
  <c r="Q13" i="5"/>
  <c r="P13" i="5"/>
  <c r="C67" i="6"/>
  <c r="E67" i="6" s="1"/>
  <c r="B11" i="6"/>
  <c r="O7" i="5"/>
  <c r="P7" i="5"/>
  <c r="Q7" i="5"/>
  <c r="N7" i="5"/>
  <c r="I10" i="5"/>
  <c r="M10" i="5"/>
  <c r="D50" i="6" s="1"/>
  <c r="C44" i="6"/>
  <c r="B26" i="6"/>
  <c r="O53" i="6"/>
  <c r="E39" i="6" s="1"/>
  <c r="E38" i="6"/>
  <c r="O61" i="6"/>
  <c r="M39" i="6" s="1"/>
  <c r="M38" i="6"/>
  <c r="C68" i="6"/>
  <c r="E68" i="6" s="1"/>
  <c r="Q8" i="5"/>
  <c r="N8" i="5"/>
  <c r="D68" i="6" s="1"/>
  <c r="P8" i="5"/>
  <c r="O8" i="5"/>
  <c r="C69" i="6"/>
  <c r="E69" i="6" s="1"/>
  <c r="Q9" i="5"/>
  <c r="P9" i="5"/>
  <c r="N9" i="5"/>
  <c r="D69" i="6" s="1"/>
  <c r="B35" i="6" l="1"/>
  <c r="B36" i="6"/>
  <c r="N35" i="6"/>
  <c r="B16" i="6"/>
  <c r="N36" i="6" s="1"/>
  <c r="G68" i="6"/>
  <c r="F68" i="6"/>
  <c r="K68" i="6"/>
  <c r="C74" i="6"/>
  <c r="E74" i="6" s="1"/>
  <c r="Q14" i="5"/>
  <c r="N14" i="5"/>
  <c r="D74" i="6" s="1"/>
  <c r="P14" i="5"/>
  <c r="O14" i="5"/>
  <c r="K67" i="6"/>
  <c r="G67" i="6"/>
  <c r="F67" i="6"/>
  <c r="H67" i="6" s="1"/>
  <c r="G73" i="6"/>
  <c r="F73" i="6"/>
  <c r="H73" i="6" s="1"/>
  <c r="K73" i="6"/>
  <c r="C70" i="6"/>
  <c r="E70" i="6" s="1"/>
  <c r="Q10" i="5"/>
  <c r="P10" i="5"/>
  <c r="B17" i="6" s="1"/>
  <c r="N10" i="5"/>
  <c r="D70" i="6" s="1"/>
  <c r="O9" i="5"/>
  <c r="D67" i="6"/>
  <c r="I73" i="6" s="1"/>
  <c r="O15" i="5"/>
  <c r="G71" i="6"/>
  <c r="F71" i="6"/>
  <c r="H71" i="6" s="1"/>
  <c r="K71" i="6"/>
  <c r="C72" i="6"/>
  <c r="E72" i="6" s="1"/>
  <c r="Q12" i="5"/>
  <c r="N12" i="5"/>
  <c r="D72" i="6" s="1"/>
  <c r="I72" i="6" s="1"/>
  <c r="P12" i="5"/>
  <c r="K69" i="6"/>
  <c r="G69" i="6"/>
  <c r="F69" i="6"/>
  <c r="H69" i="6" s="1"/>
  <c r="I50" i="6"/>
  <c r="B40" i="6"/>
  <c r="K75" i="6"/>
  <c r="G75" i="6"/>
  <c r="F75" i="6"/>
  <c r="O12" i="5" l="1"/>
  <c r="H68" i="6"/>
  <c r="J50" i="6"/>
  <c r="K72" i="6"/>
  <c r="G72" i="6"/>
  <c r="F72" i="6"/>
  <c r="H72" i="6" s="1"/>
  <c r="I67" i="6"/>
  <c r="B18" i="6"/>
  <c r="I69" i="6"/>
  <c r="B15" i="6"/>
  <c r="I71" i="6"/>
  <c r="G70" i="6"/>
  <c r="F70" i="6"/>
  <c r="H70" i="6" s="1"/>
  <c r="K70" i="6"/>
  <c r="B21" i="6" s="1"/>
  <c r="B22" i="6" s="1"/>
  <c r="I74" i="6"/>
  <c r="I68" i="6"/>
  <c r="I70" i="6"/>
  <c r="H75" i="6"/>
  <c r="O10" i="5"/>
  <c r="I75" i="6"/>
  <c r="F74" i="6"/>
  <c r="H74" i="6" s="1"/>
  <c r="K74" i="6"/>
  <c r="G74" i="6"/>
  <c r="B37" i="6" l="1"/>
  <c r="K50" i="6"/>
  <c r="N37" i="6"/>
  <c r="B19" i="6"/>
  <c r="N38" i="6" s="1"/>
  <c r="B38" i="6" l="1"/>
  <c r="O50" i="6"/>
  <c r="B39" i="6" l="1"/>
  <c r="B20" i="6"/>
  <c r="N39" i="6" s="1"/>
</calcChain>
</file>

<file path=xl/sharedStrings.xml><?xml version="1.0" encoding="utf-8"?>
<sst xmlns="http://schemas.openxmlformats.org/spreadsheetml/2006/main" count="368" uniqueCount="179">
  <si>
    <t>Manual</t>
  </si>
  <si>
    <t>L</t>
  </si>
  <si>
    <t>kg/L</t>
  </si>
  <si>
    <t>EUR</t>
  </si>
  <si>
    <t>kg</t>
  </si>
  <si>
    <t>ING-001</t>
  </si>
  <si>
    <t>ING-002</t>
  </si>
  <si>
    <t>ING-003</t>
  </si>
  <si>
    <t>ING-004</t>
  </si>
  <si>
    <t>ING-005</t>
  </si>
  <si>
    <t>ING-006</t>
  </si>
  <si>
    <t>ING-007</t>
  </si>
  <si>
    <t>ING-008</t>
  </si>
  <si>
    <t>ING-009</t>
  </si>
  <si>
    <t>Modelo de compras y costes de producto de gazpacho</t>
  </si>
  <si>
    <t>Modelo anual para 2026 | EUR | kg y litros</t>
  </si>
  <si>
    <t>Objetivo de negocio</t>
  </si>
  <si>
    <t>Conectar el plan anual de producción con la receta, las necesidades de materias primas, las compras, los costes, el control de merma y los KPI de gestión.</t>
  </si>
  <si>
    <t>Funcionamiento del modelo</t>
  </si>
  <si>
    <t>Plan de producción → Receta/lista de materiales → Necesidades de materias primas → Compras → Precios de compra → Gasto de materias primas → Coste de producto → Control de merma → KPI</t>
  </si>
  <si>
    <t>Principales supuestos</t>
  </si>
  <si>
    <t>Año del modelo 2026. Escenario anual de producción de referencia: 1.200.000 L. Plan de enero: 100.000 L. Densidad: 1,00 kg/L. Unidad de compra: kg. Dos lotes de compra. Umbral de alerta de merma: 1,00%.</t>
  </si>
  <si>
    <t>Datos maestros y datos transaccionales</t>
  </si>
  <si>
    <t>Maestro_Ingredientes contiene la receta editable y los supuestos de merma esperada. Plan_Produccion, Plan_Compras y los campos manuales de Modelo_Costes contienen los datos transaccionales mensuales.</t>
  </si>
  <si>
    <t>Compra requerida y compra real</t>
  </si>
  <si>
    <t>La compra requerida es la cantidad bruta de ingrediente derivada de la producción y de la merma esperada. La compra real es la cantidad total introducida en un máximo de dos lotes de compra mensuales.</t>
  </si>
  <si>
    <t>Precio medio ponderado de compra</t>
  </si>
  <si>
    <t>Precio medio ponderado = gasto total de los dos lotes de compra ÷ cantidad total comprada. El modelo nunca utiliza la media aritmética simple de los dos precios.</t>
  </si>
  <si>
    <t>Merma esperada y merma real</t>
  </si>
  <si>
    <t>La merma esperada se obtiene de la receta y de los supuestos de merma esperada. Operaciones introduce la merma real mensual total. La desviación se mide respecto de la producción terminada. Las desviaciones absolutas superiores al umbral editable del 1,00% generan una alerta. La Precisión de la estimación de merma es un KPI definido específicamente para este modelo como 1 - ABS(Merma real - Merma esperada) / Merma esperada. Mide la proximidad entre la merma real y la merma esperada y no pretende representar una definición industrial universal de precisión de previsiones.</t>
  </si>
  <si>
    <t>Entradas manuales</t>
  </si>
  <si>
    <t>Introduzca la producción mensual futura, las cantidades y los precios de compra, la merma real, el coste variable de fabricación por litro, el coste de envasado por litro y otros costes variables por litro. Las celdas amarillas son entradas editables.</t>
  </si>
  <si>
    <t>Limitaciones</t>
  </si>
  <si>
    <t>La V1 no incluye estacionalidad, inventario, plazos de entrega de proveedores, cantidades mínimas de pedido, stock de seguridad, logística, costes fijos indirectos, precio de venta, margen, cálculo detallado de costes del proceso de fabricación ni cálculos de envasado.</t>
  </si>
  <si>
    <t>Caso práctico ficticio con fines educativos</t>
  </si>
  <si>
    <t>Este modelo de porfolio es ficticio y se ha creado con fines educativos. No contiene ni implica datos reales de operaciones, precios, costes, volúmenes, compras ni información confidencial de AMC Fresh, Lidl o ninguna otra empresa.</t>
  </si>
  <si>
    <t>Supuestos</t>
  </si>
  <si>
    <t>Parámetro</t>
  </si>
  <si>
    <t>Valor</t>
  </si>
  <si>
    <t>Unidad</t>
  </si>
  <si>
    <t>Tipo de entrada</t>
  </si>
  <si>
    <t>Notas</t>
  </si>
  <si>
    <t>Año del modelo</t>
  </si>
  <si>
    <t>año</t>
  </si>
  <si>
    <t>Año natural</t>
  </si>
  <si>
    <t>Escenario estimado de producción anual</t>
  </si>
  <si>
    <t>Solo como referencia. No completa los meses futuros</t>
  </si>
  <si>
    <t>Densidad del producto terminado</t>
  </si>
  <si>
    <t>Se utiliza para convertir el porcentaje de receta en kg/L netos</t>
  </si>
  <si>
    <t>Moneda</t>
  </si>
  <si>
    <t>código</t>
  </si>
  <si>
    <t>Moneda de presentación del modelo</t>
  </si>
  <si>
    <t>Unidad de compra</t>
  </si>
  <si>
    <t>UdM</t>
  </si>
  <si>
    <t>Unidad utilizada para todas las cantidades de compra</t>
  </si>
  <si>
    <t>Máximo de lotes de compra por ingrediente y mes</t>
  </si>
  <si>
    <t>lotes</t>
  </si>
  <si>
    <t>El Plan de compras permite dos lotes</t>
  </si>
  <si>
    <t>Umbral de alerta de desviación de merma</t>
  </si>
  <si>
    <t>% de la producción</t>
  </si>
  <si>
    <t>Umbral mensual de desviación absoluta de merma</t>
  </si>
  <si>
    <t>Convenciones del libro</t>
  </si>
  <si>
    <t>Celdas amarillas</t>
  </si>
  <si>
    <t>Celdas gris claro</t>
  </si>
  <si>
    <t>Campos calculados</t>
  </si>
  <si>
    <t>Celdas azul claro</t>
  </si>
  <si>
    <t>KPI y resultados</t>
  </si>
  <si>
    <t>Celdas o texto rojos</t>
  </si>
  <si>
    <t>Alertas o controles fallidos</t>
  </si>
  <si>
    <t>Maestro de ingredientes y receta/lista de materiales</t>
  </si>
  <si>
    <t>ID de ingrediente</t>
  </si>
  <si>
    <t>Ingrediente</t>
  </si>
  <si>
    <t>Categoría</t>
  </si>
  <si>
    <t>% de receta</t>
  </si>
  <si>
    <t>% de merma esperada</t>
  </si>
  <si>
    <t>kg/L netos</t>
  </si>
  <si>
    <t>kg/L brutos</t>
  </si>
  <si>
    <t>Activo</t>
  </si>
  <si>
    <t>Tomate pera</t>
  </si>
  <si>
    <t>Hortalizas frescas</t>
  </si>
  <si>
    <t>Sí</t>
  </si>
  <si>
    <t>Pepino</t>
  </si>
  <si>
    <t>Pimiento verde</t>
  </si>
  <si>
    <t>Cebolla</t>
  </si>
  <si>
    <t>Ajo</t>
  </si>
  <si>
    <t>Aceite de oliva virgen extra</t>
  </si>
  <si>
    <t>Aceite</t>
  </si>
  <si>
    <t>Vinagre de Jerez</t>
  </si>
  <si>
    <t>Ácidos y condimentos</t>
  </si>
  <si>
    <t>Sal</t>
  </si>
  <si>
    <t>Condimentos</t>
  </si>
  <si>
    <t>Zumo de limón</t>
  </si>
  <si>
    <t>Control de receta</t>
  </si>
  <si>
    <t>Total de la receta</t>
  </si>
  <si>
    <t>Supuestos de un ejercicio ficticio. La receta y los porcentajes de merma esperada son editables.</t>
  </si>
  <si>
    <t>Estado del control</t>
  </si>
  <si>
    <t>Plan de producción y necesidades de materias primas</t>
  </si>
  <si>
    <t>Mes</t>
  </si>
  <si>
    <t>Producción planificada L</t>
  </si>
  <si>
    <t>Necesidad neta kg</t>
  </si>
  <si>
    <t>Compra requerida kg</t>
  </si>
  <si>
    <t>Merma esperada kg</t>
  </si>
  <si>
    <t>Estado de la entrada</t>
  </si>
  <si>
    <t>Anual / acumulado</t>
  </si>
  <si>
    <t>Total de meses informados</t>
  </si>
  <si>
    <t>Los meses futuros permanecen en blanco hasta que se introduce la producción. El escenario de 1.200.000 L es solo una referencia.</t>
  </si>
  <si>
    <t>Plan de compras</t>
  </si>
  <si>
    <t>Cantidad de compra 1 kg</t>
  </si>
  <si>
    <t>Precio de compra 1 €/kg</t>
  </si>
  <si>
    <t>Gasto de compra 1 €</t>
  </si>
  <si>
    <t>Cantidad de compra 2 kg</t>
  </si>
  <si>
    <t>Precio de compra 2 €/kg</t>
  </si>
  <si>
    <t>Gasto de compra 2 €</t>
  </si>
  <si>
    <t>Cantidad comprada kg</t>
  </si>
  <si>
    <t>Gasto total €</t>
  </si>
  <si>
    <t>Precio medio ponderado €/kg</t>
  </si>
  <si>
    <t>Desviación de compra kg</t>
  </si>
  <si>
    <t>Cobertura de compra %</t>
  </si>
  <si>
    <t>Entrada manual</t>
  </si>
  <si>
    <t>Campo calculado</t>
  </si>
  <si>
    <t>KPI / resultado</t>
  </si>
  <si>
    <t>Alerta</t>
  </si>
  <si>
    <t>Modelo de costes y KPI</t>
  </si>
  <si>
    <t>KPI anuales / acumulados</t>
  </si>
  <si>
    <t>Los gráficos se completan después de introducir los precios de compra.</t>
  </si>
  <si>
    <t>Producción planificada / registrada acumulada</t>
  </si>
  <si>
    <t>Definición</t>
  </si>
  <si>
    <t>Necesidad neta de materia prima</t>
  </si>
  <si>
    <t>Necesidad bruta de materia prima</t>
  </si>
  <si>
    <t>Escenario anual de referencia L</t>
  </si>
  <si>
    <t>Materia prima comprada</t>
  </si>
  <si>
    <t>Umbral de alerta de merma</t>
  </si>
  <si>
    <t>Merma real kg</t>
  </si>
  <si>
    <t>Rendimiento de materia prima %</t>
  </si>
  <si>
    <t>Gasto total de materia prima €</t>
  </si>
  <si>
    <t>Mayor desviación de compra</t>
  </si>
  <si>
    <t>Ingrediente con mayor coste</t>
  </si>
  <si>
    <t>Coste de materia prima €/L</t>
  </si>
  <si>
    <t>Coste total de producto €/L</t>
  </si>
  <si>
    <t>Coste estimado de merma €</t>
  </si>
  <si>
    <t>Coste de merma % del gasto de materia prima</t>
  </si>
  <si>
    <t>Merma esperada acumulada (meses informados)</t>
  </si>
  <si>
    <t>Merma real acumulada</t>
  </si>
  <si>
    <t>Desviación de merma acumulada</t>
  </si>
  <si>
    <t>Meses con alertas de merma</t>
  </si>
  <si>
    <t>Precisión de la estimación de merma</t>
  </si>
  <si>
    <t>KPI mensuales</t>
  </si>
  <si>
    <t>Métrica</t>
  </si>
  <si>
    <t>Ene</t>
  </si>
  <si>
    <t>Feb</t>
  </si>
  <si>
    <t>Mar</t>
  </si>
  <si>
    <t>Abr</t>
  </si>
  <si>
    <t>May</t>
  </si>
  <si>
    <t>Jun</t>
  </si>
  <si>
    <t>Jul</t>
  </si>
  <si>
    <t>Ago</t>
  </si>
  <si>
    <t>Sep</t>
  </si>
  <si>
    <t>Oct</t>
  </si>
  <si>
    <t>Nov</t>
  </si>
  <si>
    <t>Dic</t>
  </si>
  <si>
    <t>Acumulado</t>
  </si>
  <si>
    <t>Volumen de producto terminado L</t>
  </si>
  <si>
    <t>Materia prima requerida kg</t>
  </si>
  <si>
    <t>Materia prima comprada kg</t>
  </si>
  <si>
    <t>Gasto de materia prima €</t>
  </si>
  <si>
    <t>Desviación de merma kg</t>
  </si>
  <si>
    <t>Desviación de merma % de la producción</t>
  </si>
  <si>
    <t>Estado del control de merma</t>
  </si>
  <si>
    <t>Modelo mensual de costes y merma</t>
  </si>
  <si>
    <t>Producción terminada L</t>
  </si>
  <si>
    <t>Coste variable de fabricación €/L</t>
  </si>
  <si>
    <t>Coste de envasado €/L</t>
  </si>
  <si>
    <t>Otros costes variables €/L</t>
  </si>
  <si>
    <t>Análisis de costes por ingrediente</t>
  </si>
  <si>
    <t>Cantidad requerida kg</t>
  </si>
  <si>
    <t>Precio mínimo €/kg</t>
  </si>
  <si>
    <t>Precio máximo €/kg</t>
  </si>
  <si>
    <t>Diferencial de precios €/kg</t>
  </si>
  <si>
    <t>Contribución al coste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</si>
</sst>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0%"/>
    <numFmt numFmtId="165" formatCode="0.0000"/>
    <numFmt numFmtId="167" formatCode="\€0.0000"/>
    <numFmt numFmtId="168" formatCode="\€#,##0.00"/>
    <numFmt numFmtId="169" formatCode="&quot;Ene&quot;"/>
    <numFmt numFmtId="170" formatCode="&quot;Feb&quot;"/>
    <numFmt numFmtId="171" formatCode="&quot;Mar&quot;"/>
    <numFmt numFmtId="172" formatCode="&quot;Abr&quot;"/>
    <numFmt numFmtId="173" formatCode="&quot;May&quot;"/>
    <numFmt numFmtId="174" formatCode="&quot;Jun&quot;"/>
    <numFmt numFmtId="175" formatCode="&quot;Jul&quot;"/>
    <numFmt numFmtId="176" formatCode="&quot;Ago&quot;"/>
    <numFmt numFmtId="177" formatCode="&quot;Sep&quot;"/>
    <numFmt numFmtId="178" formatCode="&quot;Oct&quot;"/>
    <numFmt numFmtId="179" formatCode="&quot;Nov&quot;"/>
    <numFmt numFmtId="180" formatCode="&quot;Dic&quot;"/>
  </numFmts>
  <fonts count="12">
    <font>
      <sz val="11"/>
      <name val="Carlito"/>
    </font>
    <font>
      <sz val="10"/>
      <color rgb="FF1F1F1F"/>
      <name val="Arial"/>
      <family val="2"/>
    </font>
    <font>
      <b/>
      <sz val="15"/>
      <color rgb="FF17365D"/>
      <name val="Arial"/>
      <family val="2"/>
    </font>
    <font>
      <i/>
      <sz val="10"/>
      <color rgb="FF595959"/>
      <name val="Arial"/>
      <family val="2"/>
    </font>
    <font>
      <b/>
      <sz val="11"/>
      <color rgb="FF17365D"/>
      <name val="Arial"/>
      <family val="2"/>
    </font>
    <font>
      <sz val="10"/>
      <color rgb="FF595959"/>
      <name val="Arial"/>
      <family val="2"/>
    </font>
    <font>
      <b/>
      <sz val="10"/>
      <color rgb="FFFFFFFF"/>
      <name val="Arial"/>
      <family val="2"/>
    </font>
    <font>
      <sz val="10"/>
      <color rgb="FF0000FF"/>
      <name val="Arial"/>
      <family val="2"/>
    </font>
    <font>
      <b/>
      <sz val="10"/>
      <color rgb="FF17365D"/>
      <name val="Arial"/>
      <family val="2"/>
    </font>
    <font>
      <b/>
      <sz val="10"/>
      <color rgb="FFC00000"/>
      <name val="Arial"/>
      <family val="2"/>
    </font>
    <font>
      <sz val="10"/>
      <color rgb="FF008000"/>
      <name val="Arial"/>
      <family val="2"/>
    </font>
    <font>
      <i/>
      <sz val="9"/>
      <color rgb="FF595959"/>
      <name val="Arial"/>
      <family val="2"/>
    </font>
  </fonts>
  <fills count="8">
    <fill>
      <patternFill patternType="none"/>
    </fill>
    <fill>
      <patternFill patternType="gray125"/>
    </fill>
    <fill>
      <patternFill patternType="solid">
        <fgColor rgb="FF17365D"/>
      </patternFill>
    </fill>
    <fill>
      <patternFill patternType="solid">
        <fgColor rgb="FFFFF2CC"/>
      </patternFill>
    </fill>
    <fill>
      <patternFill patternType="solid">
        <fgColor rgb="FFD9EAF7"/>
      </patternFill>
    </fill>
    <fill>
      <patternFill patternType="solid">
        <fgColor rgb="FFF2F2F2"/>
      </patternFill>
    </fill>
    <fill>
      <patternFill patternType="solid">
        <fgColor rgb="FFEAF2F8"/>
      </patternFill>
    </fill>
    <fill>
      <patternFill patternType="solid">
        <fgColor rgb="FFFCE4D6"/>
      </patternFill>
    </fill>
  </fills>
  <borders count="9">
    <border>
      <left/>
      <right/>
      <top/>
      <bottom/>
      <diagonal/>
    </border>
    <border>
      <left/>
      <right/>
      <top/>
      <bottom style="thin">
        <color rgb="FF4472C4"/>
      </bottom>
      <diagonal/>
    </border>
    <border>
      <left/>
      <right/>
      <top/>
      <bottom style="thin">
        <color rgb="FFD9EAF7"/>
      </bottom>
      <diagonal/>
    </border>
    <border>
      <left/>
      <right style="thin">
        <color rgb="FFFFFFFF"/>
      </right>
      <top/>
      <bottom style="medium">
        <color rgb="FF17365D"/>
      </bottom>
      <diagonal/>
    </border>
    <border>
      <left style="thin">
        <color rgb="FFFFFFFF"/>
      </left>
      <right style="thin">
        <color rgb="FFFFFFFF"/>
      </right>
      <top/>
      <bottom style="medium">
        <color rgb="FF17365D"/>
      </bottom>
      <diagonal/>
    </border>
    <border>
      <left style="thin">
        <color rgb="FFFFFFFF"/>
      </left>
      <right/>
      <top/>
      <bottom style="medium">
        <color rgb="FF17365D"/>
      </bottom>
      <diagonal/>
    </border>
    <border>
      <left/>
      <right style="thin">
        <color rgb="FFFFFFFF"/>
      </right>
      <top/>
      <bottom/>
      <diagonal/>
    </border>
    <border>
      <left/>
      <right/>
      <top/>
      <bottom style="thin">
        <color rgb="FFD9D9D9"/>
      </bottom>
      <diagonal/>
    </border>
    <border>
      <left/>
      <right style="thin">
        <color rgb="FFFFFFFF"/>
      </right>
      <top/>
      <bottom style="thin">
        <color rgb="FFD9D9D9"/>
      </bottom>
      <diagonal/>
    </border>
  </borders>
  <cellStyleXfs count="1">
    <xf numFmtId="0" fontId="0" fillId="0" borderId="0"/>
  </cellStyleXfs>
  <cellXfs count="66">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1" fillId="0" borderId="1" xfId="0" applyFont="1" applyBorder="1" applyAlignment="1">
      <alignment vertical="center"/>
    </xf>
    <xf numFmtId="0" fontId="5" fillId="0" borderId="0" xfId="0" applyFont="1" applyAlignment="1">
      <alignment vertical="center" wrapText="1"/>
    </xf>
    <xf numFmtId="0" fontId="4" fillId="0" borderId="2" xfId="0" applyFont="1" applyBorder="1" applyAlignment="1">
      <alignment vertical="center"/>
    </xf>
    <xf numFmtId="0" fontId="1" fillId="0" borderId="2" xfId="0" applyFont="1" applyBorder="1" applyAlignment="1">
      <alignment vertical="center"/>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7" fillId="3" borderId="0" xfId="0" applyFont="1" applyFill="1" applyAlignment="1">
      <alignment vertical="center"/>
    </xf>
    <xf numFmtId="1" fontId="7" fillId="3" borderId="0" xfId="0" applyNumberFormat="1" applyFont="1" applyFill="1" applyAlignment="1">
      <alignment vertical="center"/>
    </xf>
    <xf numFmtId="3" fontId="7" fillId="3" borderId="0" xfId="0" applyNumberFormat="1" applyFont="1" applyFill="1" applyAlignment="1">
      <alignment vertical="center"/>
    </xf>
    <xf numFmtId="2" fontId="7" fillId="3" borderId="0" xfId="0" applyNumberFormat="1" applyFont="1" applyFill="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10" fontId="7" fillId="3" borderId="7" xfId="0" applyNumberFormat="1" applyFont="1" applyFill="1" applyBorder="1" applyAlignment="1">
      <alignment vertical="center"/>
    </xf>
    <xf numFmtId="0" fontId="1" fillId="0" borderId="8" xfId="0" applyFont="1" applyBorder="1" applyAlignment="1">
      <alignment vertical="center"/>
    </xf>
    <xf numFmtId="0" fontId="8" fillId="4" borderId="1" xfId="0" applyFont="1" applyFill="1" applyBorder="1" applyAlignment="1">
      <alignment vertical="center"/>
    </xf>
    <xf numFmtId="0" fontId="1" fillId="5" borderId="0" xfId="0" applyFont="1" applyFill="1" applyAlignment="1">
      <alignment vertical="center"/>
    </xf>
    <xf numFmtId="0" fontId="8" fillId="6" borderId="0" xfId="0" applyFont="1" applyFill="1" applyAlignment="1">
      <alignment vertical="center"/>
    </xf>
    <xf numFmtId="0" fontId="9" fillId="7" borderId="0" xfId="0" applyFont="1" applyFill="1" applyAlignment="1">
      <alignment vertical="center"/>
    </xf>
    <xf numFmtId="0" fontId="10" fillId="5" borderId="0" xfId="0" applyFont="1" applyFill="1" applyAlignment="1">
      <alignment vertical="center"/>
    </xf>
    <xf numFmtId="164" fontId="7" fillId="3" borderId="0" xfId="0" applyNumberFormat="1" applyFont="1" applyFill="1" applyAlignment="1">
      <alignment vertical="center"/>
    </xf>
    <xf numFmtId="165" fontId="10" fillId="5" borderId="0" xfId="0" applyNumberFormat="1" applyFont="1" applyFill="1" applyAlignment="1">
      <alignment vertical="center"/>
    </xf>
    <xf numFmtId="164" fontId="8" fillId="6" borderId="0" xfId="0" applyNumberFormat="1" applyFont="1" applyFill="1" applyAlignment="1">
      <alignment vertical="center"/>
    </xf>
    <xf numFmtId="0" fontId="11" fillId="0" borderId="0" xfId="0" applyFont="1" applyAlignment="1">
      <alignment vertical="center"/>
    </xf>
    <xf numFmtId="0" fontId="11" fillId="0" borderId="0" xfId="0" applyFont="1" applyAlignment="1">
      <alignment vertical="center" wrapText="1"/>
    </xf>
    <xf numFmtId="4" fontId="7" fillId="3" borderId="0" xfId="0" applyNumberFormat="1" applyFont="1" applyFill="1" applyAlignment="1">
      <alignment vertical="center"/>
    </xf>
    <xf numFmtId="4" fontId="10" fillId="5" borderId="0" xfId="0" applyNumberFormat="1" applyFont="1" applyFill="1" applyAlignment="1">
      <alignment vertical="center"/>
    </xf>
    <xf numFmtId="4" fontId="8" fillId="6" borderId="0" xfId="0" applyNumberFormat="1" applyFont="1" applyFill="1" applyAlignment="1">
      <alignment vertical="center"/>
    </xf>
    <xf numFmtId="4" fontId="1" fillId="5" borderId="0" xfId="0" applyNumberFormat="1" applyFont="1" applyFill="1" applyAlignment="1">
      <alignment vertical="center"/>
    </xf>
    <xf numFmtId="168" fontId="1" fillId="5" borderId="0" xfId="0" applyNumberFormat="1" applyFont="1" applyFill="1" applyAlignment="1">
      <alignment vertical="center"/>
    </xf>
    <xf numFmtId="167" fontId="1" fillId="5" borderId="0" xfId="0" applyNumberFormat="1" applyFont="1" applyFill="1" applyAlignment="1">
      <alignment vertical="center"/>
    </xf>
    <xf numFmtId="164" fontId="1" fillId="5" borderId="0" xfId="0" applyNumberFormat="1" applyFont="1" applyFill="1" applyAlignment="1">
      <alignment vertical="center"/>
    </xf>
    <xf numFmtId="167" fontId="7" fillId="3" borderId="0" xfId="0" applyNumberFormat="1" applyFont="1" applyFill="1" applyAlignment="1">
      <alignment vertical="center"/>
    </xf>
    <xf numFmtId="0" fontId="11" fillId="3" borderId="0" xfId="0" applyFont="1" applyFill="1" applyAlignment="1">
      <alignment vertical="center"/>
    </xf>
    <xf numFmtId="0" fontId="11" fillId="5" borderId="0" xfId="0" applyFont="1" applyFill="1" applyAlignment="1">
      <alignment vertical="center"/>
    </xf>
    <xf numFmtId="0" fontId="11" fillId="6" borderId="0" xfId="0" applyFont="1" applyFill="1" applyAlignment="1">
      <alignment vertical="center"/>
    </xf>
    <xf numFmtId="0" fontId="11" fillId="7" borderId="0" xfId="0" applyFont="1" applyFill="1" applyAlignment="1">
      <alignment vertical="center"/>
    </xf>
    <xf numFmtId="168" fontId="8" fillId="6" borderId="0" xfId="0" applyNumberFormat="1" applyFont="1" applyFill="1" applyAlignment="1">
      <alignment vertical="center"/>
    </xf>
    <xf numFmtId="167" fontId="8" fillId="6" borderId="0" xfId="0" applyNumberFormat="1" applyFont="1" applyFill="1" applyAlignment="1">
      <alignment vertical="center"/>
    </xf>
    <xf numFmtId="3" fontId="8" fillId="6" borderId="0" xfId="0" applyNumberFormat="1" applyFont="1" applyFill="1" applyAlignment="1">
      <alignment vertical="center"/>
    </xf>
    <xf numFmtId="10" fontId="8" fillId="6" borderId="0" xfId="0" applyNumberFormat="1" applyFont="1" applyFill="1" applyAlignment="1">
      <alignment vertical="center"/>
    </xf>
    <xf numFmtId="167" fontId="10" fillId="5" borderId="0" xfId="0" applyNumberFormat="1" applyFont="1" applyFill="1" applyAlignment="1">
      <alignment vertical="center"/>
    </xf>
    <xf numFmtId="164" fontId="10" fillId="5" borderId="0" xfId="0" applyNumberFormat="1" applyFont="1" applyFill="1" applyAlignment="1">
      <alignment vertical="center"/>
    </xf>
    <xf numFmtId="168" fontId="10" fillId="5" borderId="0" xfId="0" applyNumberFormat="1" applyFont="1" applyFill="1" applyAlignment="1">
      <alignment vertical="center"/>
    </xf>
    <xf numFmtId="0" fontId="10" fillId="5" borderId="0" xfId="0" applyFont="1" applyFill="1"/>
    <xf numFmtId="4" fontId="10" fillId="5" borderId="0" xfId="0" applyNumberFormat="1" applyFont="1" applyFill="1"/>
    <xf numFmtId="167" fontId="10" fillId="5" borderId="0" xfId="0" applyNumberFormat="1" applyFont="1" applyFill="1"/>
    <xf numFmtId="164" fontId="10" fillId="5" borderId="0" xfId="0" applyNumberFormat="1" applyFont="1" applyFill="1"/>
    <xf numFmtId="168" fontId="10" fillId="5" borderId="0" xfId="0" applyNumberFormat="1" applyFont="1" applyFill="1"/>
    <xf numFmtId="0" fontId="8" fillId="6" borderId="0" xfId="0" applyFont="1" applyFill="1" applyAlignment="1">
      <alignment vertical="center" wrapText="1"/>
    </xf>
    <xf numFmtId="169" fontId="1" fillId="0" borderId="0" xfId="0" applyNumberFormat="1" applyFont="1" applyAlignment="1">
      <alignment vertical="center"/>
    </xf>
    <xf numFmtId="170" fontId="1" fillId="0" borderId="0" xfId="0" applyNumberFormat="1" applyFont="1" applyAlignment="1">
      <alignment vertical="center"/>
    </xf>
    <xf numFmtId="171" fontId="1" fillId="0" borderId="0" xfId="0" applyNumberFormat="1" applyFont="1" applyAlignment="1">
      <alignment vertical="center"/>
    </xf>
    <xf numFmtId="172" fontId="1" fillId="0" borderId="0" xfId="0" applyNumberFormat="1" applyFont="1" applyAlignment="1">
      <alignment vertical="center"/>
    </xf>
    <xf numFmtId="173" fontId="1" fillId="0" borderId="0" xfId="0" applyNumberFormat="1" applyFont="1" applyAlignment="1">
      <alignment vertical="center"/>
    </xf>
    <xf numFmtId="174" fontId="1" fillId="0" borderId="0" xfId="0" applyNumberFormat="1" applyFont="1" applyAlignment="1">
      <alignment vertical="center"/>
    </xf>
    <xf numFmtId="175" fontId="1" fillId="0" borderId="0" xfId="0" applyNumberFormat="1" applyFont="1" applyAlignment="1">
      <alignment vertical="center"/>
    </xf>
    <xf numFmtId="176" fontId="1" fillId="0" borderId="0" xfId="0" applyNumberFormat="1" applyFont="1" applyAlignment="1">
      <alignment vertical="center"/>
    </xf>
    <xf numFmtId="177" fontId="1" fillId="0" borderId="0" xfId="0" applyNumberFormat="1" applyFont="1" applyAlignment="1">
      <alignment vertical="center"/>
    </xf>
    <xf numFmtId="178" fontId="1" fillId="0" borderId="0" xfId="0" applyNumberFormat="1" applyFont="1" applyAlignment="1">
      <alignment vertical="center"/>
    </xf>
    <xf numFmtId="179" fontId="1" fillId="0" borderId="0" xfId="0" applyNumberFormat="1" applyFont="1" applyAlignment="1">
      <alignment vertical="center"/>
    </xf>
    <xf numFmtId="180" fontId="1" fillId="0" borderId="0" xfId="0" applyNumberFormat="1" applyFont="1" applyAlignment="1">
      <alignment vertical="center"/>
    </xf>
  </cellXfs>
  <cellStyles count="1">
    <cellStyle name="Normal" xfId="0" builtinId="0"/>
  </cellStyles>
  <dxfs count="8">
    <dxf>
      <font>
        <b/>
        <color rgb="FFC00000"/>
      </font>
      <fill>
        <patternFill patternType="solid">
          <bgColor rgb="FFFCE4D6"/>
        </patternFill>
      </fill>
    </dxf>
    <dxf>
      <font>
        <b/>
        <color rgb="FFC00000"/>
      </font>
      <fill>
        <patternFill>
          <bgColor rgb="FFFCE4D6"/>
        </patternFill>
      </fill>
    </dxf>
    <dxf>
      <font>
        <b/>
        <color rgb="FFC00000"/>
      </font>
      <fill>
        <patternFill patternType="solid">
          <bgColor rgb="FFFCE4D6"/>
        </patternFill>
      </fill>
    </dxf>
    <dxf>
      <font>
        <b/>
        <color rgb="FFC00000"/>
      </font>
      <fill>
        <patternFill>
          <bgColor rgb="FFFCE4D6"/>
        </patternFill>
      </fill>
    </dxf>
    <dxf>
      <font>
        <b/>
        <color rgb="FFC00000"/>
      </font>
      <fill>
        <patternFill patternType="solid">
          <bgColor rgb="FFFCE4D6"/>
        </patternFill>
      </fill>
    </dxf>
    <dxf>
      <font>
        <b/>
        <color rgb="FFC00000"/>
      </font>
      <fill>
        <patternFill>
          <bgColor rgb="FFFCE4D6"/>
        </patternFill>
      </fill>
    </dxf>
    <dxf>
      <font>
        <b/>
        <color rgb="FFC00000"/>
      </font>
      <fill>
        <patternFill patternType="solid">
          <bgColor rgb="FFFCE4D6"/>
        </patternFill>
      </fill>
    </dxf>
    <dxf>
      <font>
        <b/>
        <color rgb="FFC00000"/>
      </font>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sz="900">
                <a:latin typeface="Arial"/>
                <a:ea typeface="Arial"/>
                <a:cs typeface="Arial"/>
              </a:rPr>
              <a:t>Coste mensual de materia prima €/L</a:t>
            </a:r>
          </a:p>
        </c:rich>
      </c:tx>
      <c:overlay val="0"/>
    </c:title>
    <c:autoTitleDeleted val="0"/>
    <c:plotArea>
      <c:layout/>
      <c:lineChart>
        <c:grouping val="standard"/>
        <c:varyColors val="0"/>
        <c:ser>
          <c:idx val="0"/>
          <c:order val="0"/>
          <c:tx>
            <c:v>Coste de materia prima €/L</c:v>
          </c:tx>
          <c:spPr>
            <a:ln w="19050">
              <a:solidFill>
                <a:srgbClr val="4472C4"/>
              </a:solidFill>
              <a:prstDash val="solid"/>
            </a:ln>
          </c:spPr>
          <c:marker>
            <c:symbol val="none"/>
          </c:marker>
          <c:cat>
            <c:strRef>
              <c:f>Modelo_Costes!$A$50:$A$61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Modelo_Costes!$K$50:$K$61</c:f>
              <c:numCache>
                <c:formatCode>\€0.0000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6192-4C42-8890-DDAF65546049}"/>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latin typeface="Arial"/>
                <a:ea typeface="Arial"/>
                <a:cs typeface="Arial"/>
              </a:defRPr>
            </a:pPr>
            <a:endParaRPr lang="es-E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0"/>
        <c:majorTickMark val="none"/>
        <c:minorTickMark val="none"/>
        <c:tickLblPos val="nextTo"/>
        <c:txPr>
          <a:bodyPr anchorCtr="1"/>
          <a:lstStyle/>
          <a:p>
            <a:pPr>
              <a:defRPr sz="675">
                <a:latin typeface="Arial"/>
                <a:ea typeface="Arial"/>
                <a:cs typeface="Arial"/>
              </a:defRPr>
            </a:pPr>
            <a:endParaRPr lang="es-ES"/>
          </a:p>
        </c:txPr>
        <c:crossAx val="48650112"/>
        <c:crosses val="autoZero"/>
        <c:crossBetween val="between"/>
      </c:valAx>
    </c:plotArea>
    <c:legend>
      <c:legendPos val="t"/>
      <c:overlay val="0"/>
      <c:txPr>
        <a:bodyPr anchorCtr="1"/>
        <a:lstStyle/>
        <a:p>
          <a:pPr>
            <a:defRPr>
              <a:latin typeface="Arial"/>
              <a:ea typeface="Arial"/>
              <a:cs typeface="Arial"/>
            </a:defRPr>
          </a:pPr>
          <a:endParaRPr lang="es-E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sz="900">
                <a:latin typeface="Arial"/>
                <a:ea typeface="Arial"/>
                <a:cs typeface="Arial"/>
              </a:rPr>
              <a:t>Contribución al coste de materia prima por ingrediente</a:t>
            </a:r>
          </a:p>
        </c:rich>
      </c:tx>
      <c:overlay val="0"/>
    </c:title>
    <c:autoTitleDeleted val="0"/>
    <c:plotArea>
      <c:layout/>
      <c:barChart>
        <c:barDir val="col"/>
        <c:grouping val="clustered"/>
        <c:varyColors val="0"/>
        <c:ser>
          <c:idx val="0"/>
          <c:order val="0"/>
          <c:tx>
            <c:v>Contribución al coste %</c:v>
          </c:tx>
          <c:spPr>
            <a:solidFill>
              <a:srgbClr val="548235"/>
            </a:solidFill>
          </c:spPr>
          <c:invertIfNegative val="1"/>
          <c:cat>
            <c:strRef>
              <c:f>Modelo_Costes!$A$67:$A$75</c:f>
              <c:strCache>
                <c:ptCount val="9"/>
                <c:pt idx="0">
                  <c:v>Tomate pera</c:v>
                </c:pt>
                <c:pt idx="1">
                  <c:v>Pepino</c:v>
                </c:pt>
                <c:pt idx="2">
                  <c:v>Pimiento verde</c:v>
                </c:pt>
                <c:pt idx="3">
                  <c:v>Cebolla</c:v>
                </c:pt>
                <c:pt idx="4">
                  <c:v>Ajo</c:v>
                </c:pt>
                <c:pt idx="5">
                  <c:v>Aceite de oliva virgen extra</c:v>
                </c:pt>
                <c:pt idx="6">
                  <c:v>Vinagre de Jerez</c:v>
                </c:pt>
                <c:pt idx="7">
                  <c:v>Sal</c:v>
                </c:pt>
                <c:pt idx="8">
                  <c:v>Zumo de limón</c:v>
                </c:pt>
              </c:strCache>
            </c:strRef>
          </c:cat>
          <c:val>
            <c:numRef>
              <c:f>Modelo_Costes!$I$67:$I$75</c:f>
              <c:numCache>
                <c:formatCode>0.0%</c:formatCode>
                <c:ptCount val="9"/>
                <c:pt idx="0">
                  <c:v>0</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800E-2744-A972-30804A253B6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latin typeface="Arial"/>
                <a:ea typeface="Arial"/>
                <a:cs typeface="Arial"/>
              </a:defRPr>
            </a:pPr>
            <a:endParaRPr lang="es-E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675">
                <a:latin typeface="Arial"/>
                <a:ea typeface="Arial"/>
                <a:cs typeface="Arial"/>
              </a:defRPr>
            </a:pPr>
            <a:endParaRPr lang="es-ES"/>
          </a:p>
        </c:txPr>
        <c:crossAx val="48650112"/>
        <c:crosses val="autoZero"/>
        <c:crossBetween val="between"/>
      </c:valAx>
    </c:plotArea>
    <c:legend>
      <c:legendPos val="t"/>
      <c:overlay val="0"/>
      <c:txPr>
        <a:bodyPr anchorCtr="1"/>
        <a:lstStyle/>
        <a:p>
          <a:pPr>
            <a:defRPr>
              <a:latin typeface="Arial"/>
              <a:ea typeface="Arial"/>
              <a:cs typeface="Arial"/>
            </a:defRPr>
          </a:pPr>
          <a:endParaRPr lang="es-E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0</xdr:colOff>
      <xdr:row>7</xdr:row>
      <xdr:rowOff>0</xdr:rowOff>
    </xdr:from>
    <xdr:to>
      <xdr:col>24</xdr:col>
      <xdr:colOff>0</xdr:colOff>
      <xdr:row>22</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24</xdr:row>
      <xdr:rowOff>0</xdr:rowOff>
    </xdr:from>
    <xdr:to>
      <xdr:col>24</xdr:col>
      <xdr:colOff>0</xdr:colOff>
      <xdr:row>41</xdr:row>
      <xdr:rowOff>0</xdr:rowOff>
    </xdr:to>
    <xdr:graphicFrame macro="">
      <xdr:nvGraphicFramePr>
        <xdr:cNvPr id="3" name="Char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ssumptions_EN" displayName="Assumptions_EN" ref="A6:E13" totalsRowShown="0">
  <autoFilter ref="A6:E13" xr:uid="{00000000-0009-0000-0100-000001000000}"/>
  <tableColumns count="5">
    <tableColumn id="1" xr3:uid="{00000000-0010-0000-0000-000001000000}" name="Parameter"/>
    <tableColumn id="2" xr3:uid="{00000000-0010-0000-0000-000002000000}" name="Value"/>
    <tableColumn id="3" xr3:uid="{00000000-0010-0000-0000-000003000000}" name="Unit"/>
    <tableColumn id="4" xr3:uid="{00000000-0010-0000-0000-000004000000}" name="Input type"/>
    <tableColumn id="5" xr3:uid="{00000000-0010-0000-0000-000005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gredients_EN" displayName="Ingredients_EN" ref="A6:I15" totalsRowShown="0">
  <autoFilter ref="A6:I15" xr:uid="{00000000-0009-0000-0100-000002000000}"/>
  <tableColumns count="9">
    <tableColumn id="1" xr3:uid="{00000000-0010-0000-0100-000001000000}" name="Ingredient ID"/>
    <tableColumn id="2" xr3:uid="{00000000-0010-0000-0100-000002000000}" name="Ingredient"/>
    <tableColumn id="3" xr3:uid="{00000000-0010-0000-0100-000003000000}" name="Category"/>
    <tableColumn id="4" xr3:uid="{00000000-0010-0000-0100-000004000000}" name="Purchase UOM"/>
    <tableColumn id="5" xr3:uid="{00000000-0010-0000-0100-000005000000}" name="Recipe %"/>
    <tableColumn id="6" xr3:uid="{00000000-0010-0000-0100-000006000000}" name="Expected Waste %"/>
    <tableColumn id="7" xr3:uid="{00000000-0010-0000-0100-000007000000}" name="Net kg/L"/>
    <tableColumn id="8" xr3:uid="{00000000-0010-0000-0100-000008000000}" name="Gross kg/L"/>
    <tableColumn id="9" xr3:uid="{00000000-0010-0000-0100-000009000000}" name="Activ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duction_EN" displayName="Production_EN" ref="A6:F18" totalsRowShown="0">
  <autoFilter ref="A6:F18" xr:uid="{00000000-0009-0000-0100-000003000000}"/>
  <tableColumns count="6">
    <tableColumn id="1" xr3:uid="{00000000-0010-0000-0200-000001000000}" name="Month"/>
    <tableColumn id="2" xr3:uid="{00000000-0010-0000-0200-000002000000}" name="Planned Production L"/>
    <tableColumn id="3" xr3:uid="{00000000-0010-0000-0200-000003000000}" name="Net Requirement kg"/>
    <tableColumn id="4" xr3:uid="{00000000-0010-0000-0200-000004000000}" name="Required Purchase kg"/>
    <tableColumn id="5" xr3:uid="{00000000-0010-0000-0200-000005000000}" name="Expected Waste kg"/>
    <tableColumn id="6" xr3:uid="{00000000-0010-0000-0200-000006000000}" name="Input 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urchasing_EN" displayName="Purchasing_EN" ref="A6:Q114" totalsRowShown="0">
  <autoFilter ref="A6:Q114" xr:uid="{00000000-0009-0000-0100-000004000000}"/>
  <tableColumns count="17">
    <tableColumn id="1" xr3:uid="{00000000-0010-0000-0300-000001000000}" name="Month"/>
    <tableColumn id="2" xr3:uid="{00000000-0010-0000-0300-000002000000}" name="Ingredient ID"/>
    <tableColumn id="3" xr3:uid="{00000000-0010-0000-0300-000003000000}" name="Ingredient"/>
    <tableColumn id="4" xr3:uid="{00000000-0010-0000-0300-000004000000}" name="Planned Production L"/>
    <tableColumn id="5" xr3:uid="{00000000-0010-0000-0300-000005000000}" name="Net Requirement kg"/>
    <tableColumn id="6" xr3:uid="{00000000-0010-0000-0300-000006000000}" name="Required Purchase kg"/>
    <tableColumn id="7" xr3:uid="{00000000-0010-0000-0300-000007000000}" name="Purchase 1 Qty kg"/>
    <tableColumn id="8" xr3:uid="{00000000-0010-0000-0300-000008000000}" name="Purchase 1 Price €/kg"/>
    <tableColumn id="9" xr3:uid="{00000000-0010-0000-0300-000009000000}" name="Purchase 1 Spend €"/>
    <tableColumn id="10" xr3:uid="{00000000-0010-0000-0300-00000A000000}" name="Purchase 2 Qty kg"/>
    <tableColumn id="11" xr3:uid="{00000000-0010-0000-0300-00000B000000}" name="Purchase 2 Price €/kg"/>
    <tableColumn id="12" xr3:uid="{00000000-0010-0000-0300-00000C000000}" name="Purchase 2 Spend €"/>
    <tableColumn id="13" xr3:uid="{00000000-0010-0000-0300-00000D000000}" name="Actual Purchased kg"/>
    <tableColumn id="14" xr3:uid="{00000000-0010-0000-0300-00000E000000}" name="Total Spend €"/>
    <tableColumn id="15" xr3:uid="{00000000-0010-0000-0300-00000F000000}" name="Weighted Average Price €/kg"/>
    <tableColumn id="16" xr3:uid="{00000000-0010-0000-0300-000010000000}" name="Purchase Variance kg"/>
    <tableColumn id="17" xr3:uid="{00000000-0010-0000-0300-000011000000}" name="Purchase Coverage %"/>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onthlyCost_EN" displayName="MonthlyCost_EN" ref="A49:P61" totalsRowShown="0">
  <autoFilter ref="A49:P61" xr:uid="{00000000-0009-0000-0100-000005000000}"/>
  <tableColumns count="16">
    <tableColumn id="1" xr3:uid="{00000000-0010-0000-0400-000001000000}" name="Month"/>
    <tableColumn id="2" xr3:uid="{00000000-0010-0000-0400-000002000000}" name="Finished Production L"/>
    <tableColumn id="3" xr3:uid="{00000000-0010-0000-0400-000003000000}" name="Required Raw Material kg"/>
    <tableColumn id="4" xr3:uid="{00000000-0010-0000-0400-000004000000}" name="Purchased Raw Material kg"/>
    <tableColumn id="5" xr3:uid="{00000000-0010-0000-0400-000005000000}" name="Expected Waste kg"/>
    <tableColumn id="6" xr3:uid="{00000000-0010-0000-0400-000006000000}" name="Actual Waste kg"/>
    <tableColumn id="7" xr3:uid="{00000000-0010-0000-0400-000007000000}" name="Waste Variance kg"/>
    <tableColumn id="8" xr3:uid="{00000000-0010-0000-0400-000008000000}" name="Waste Variance % of Production"/>
    <tableColumn id="9" xr3:uid="{00000000-0010-0000-0400-000009000000}" name="Waste Forecast Accuracy"/>
    <tableColumn id="10" xr3:uid="{00000000-0010-0000-0400-00000A000000}" name="Raw Material Spend €"/>
    <tableColumn id="11" xr3:uid="{00000000-0010-0000-0400-00000B000000}" name="Raw Material Cost €/L"/>
    <tableColumn id="12" xr3:uid="{00000000-0010-0000-0400-00000C000000}" name="Manufacturing Variable Cost €/L"/>
    <tableColumn id="13" xr3:uid="{00000000-0010-0000-0400-00000D000000}" name="Packaging Cost €/L"/>
    <tableColumn id="14" xr3:uid="{00000000-0010-0000-0400-00000E000000}" name="Other Variable Cost €/L"/>
    <tableColumn id="15" xr3:uid="{00000000-0010-0000-0400-00000F000000}" name="Total Product Cost €/L"/>
    <tableColumn id="16" xr3:uid="{00000000-0010-0000-0400-000010000000}" name="Waste Control 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IngredientCost_EN" displayName="IngredientCost_EN" ref="A66:K75" totalsRowShown="0">
  <autoFilter ref="A66:K75" xr:uid="{00000000-0009-0000-0100-000006000000}"/>
  <tableColumns count="11">
    <tableColumn id="1" xr3:uid="{00000000-0010-0000-0500-000001000000}" name="Ingredient"/>
    <tableColumn id="2" xr3:uid="{00000000-0010-0000-0500-000002000000}" name="Required kg"/>
    <tableColumn id="3" xr3:uid="{00000000-0010-0000-0500-000003000000}" name="Purchased kg"/>
    <tableColumn id="4" xr3:uid="{00000000-0010-0000-0500-000004000000}" name="Total Spend €"/>
    <tableColumn id="5" xr3:uid="{00000000-0010-0000-0500-000005000000}" name="Weighted Average Price €/kg"/>
    <tableColumn id="6" xr3:uid="{00000000-0010-0000-0500-000006000000}" name="Minimum Price €/kg"/>
    <tableColumn id="7" xr3:uid="{00000000-0010-0000-0500-000007000000}" name="Maximum Price €/kg"/>
    <tableColumn id="8" xr3:uid="{00000000-0010-0000-0500-000008000000}" name="Price Spread €/kg"/>
    <tableColumn id="9" xr3:uid="{00000000-0010-0000-0500-000009000000}" name="Cost Contribution %"/>
    <tableColumn id="10" xr3:uid="{00000000-0010-0000-0500-00000A000000}" name="Expected Waste kg"/>
    <tableColumn id="11" xr3:uid="{00000000-0010-0000-0500-00000B000000}" name="Estimated Waste Cost €"/>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F8C8D"/>
  </sheetPr>
  <dimension ref="A1:J42"/>
  <sheetViews>
    <sheetView showGridLines="0" tabSelected="1" workbookViewId="0"/>
  </sheetViews>
  <sheetFormatPr baseColWidth="10" defaultColWidth="8.83203125" defaultRowHeight="14"/>
  <cols>
    <col min="1" max="1" width="115" customWidth="1"/>
    <col min="2" max="10" width="3" customWidth="1"/>
  </cols>
  <sheetData>
    <row r="1" spans="1:10">
      <c r="A1" s="1"/>
      <c r="B1" s="1"/>
      <c r="C1" s="1"/>
      <c r="D1" s="1"/>
      <c r="E1" s="1"/>
      <c r="F1" s="1"/>
      <c r="G1" s="1"/>
      <c r="H1" s="1"/>
      <c r="I1" s="1"/>
      <c r="J1" s="1"/>
    </row>
    <row r="2" spans="1:10" ht="19">
      <c r="A2" s="2" t="s">
        <v>14</v>
      </c>
      <c r="B2" s="1"/>
      <c r="C2" s="1"/>
      <c r="D2" s="1"/>
      <c r="E2" s="1"/>
      <c r="F2" s="1"/>
      <c r="G2" s="1"/>
      <c r="H2" s="1"/>
      <c r="I2" s="1"/>
      <c r="J2" s="1"/>
    </row>
    <row r="3" spans="1:10">
      <c r="A3" s="3" t="s">
        <v>15</v>
      </c>
      <c r="B3" s="1"/>
      <c r="C3" s="1"/>
      <c r="D3" s="1"/>
      <c r="E3" s="1"/>
      <c r="F3" s="1"/>
      <c r="G3" s="1"/>
      <c r="H3" s="1"/>
      <c r="I3" s="1"/>
      <c r="J3" s="1"/>
    </row>
    <row r="4" spans="1:10">
      <c r="A4" s="4"/>
      <c r="B4" s="4"/>
      <c r="C4" s="4"/>
      <c r="D4" s="4"/>
      <c r="E4" s="4"/>
      <c r="F4" s="4"/>
      <c r="G4" s="4"/>
      <c r="H4" s="4"/>
      <c r="I4" s="4"/>
      <c r="J4" s="4"/>
    </row>
    <row r="5" spans="1:10">
      <c r="A5" s="1"/>
      <c r="B5" s="1"/>
      <c r="C5" s="1"/>
      <c r="D5" s="1"/>
      <c r="E5" s="1"/>
      <c r="F5" s="1"/>
      <c r="G5" s="1"/>
      <c r="H5" s="1"/>
      <c r="I5" s="1"/>
      <c r="J5" s="1"/>
    </row>
    <row r="6" spans="1:10">
      <c r="A6" s="6" t="s">
        <v>16</v>
      </c>
      <c r="B6" s="7"/>
      <c r="C6" s="7"/>
      <c r="D6" s="7"/>
      <c r="E6" s="7"/>
      <c r="F6" s="7"/>
      <c r="G6" s="7"/>
      <c r="H6" s="7"/>
      <c r="I6" s="7"/>
      <c r="J6" s="7"/>
    </row>
    <row r="7" spans="1:10" ht="42" customHeight="1">
      <c r="A7" s="5" t="s">
        <v>17</v>
      </c>
      <c r="B7" s="5"/>
      <c r="C7" s="5"/>
      <c r="D7" s="5"/>
      <c r="E7" s="5"/>
      <c r="F7" s="5"/>
      <c r="G7" s="5"/>
      <c r="H7" s="5"/>
      <c r="I7" s="5"/>
      <c r="J7" s="5"/>
    </row>
    <row r="8" spans="1:10">
      <c r="A8" s="1"/>
      <c r="B8" s="1"/>
      <c r="C8" s="1"/>
      <c r="D8" s="1"/>
      <c r="E8" s="1"/>
      <c r="F8" s="1"/>
      <c r="G8" s="1"/>
      <c r="H8" s="1"/>
      <c r="I8" s="1"/>
      <c r="J8" s="1"/>
    </row>
    <row r="9" spans="1:10">
      <c r="A9" s="6" t="s">
        <v>18</v>
      </c>
      <c r="B9" s="7"/>
      <c r="C9" s="7"/>
      <c r="D9" s="7"/>
      <c r="E9" s="7"/>
      <c r="F9" s="7"/>
      <c r="G9" s="7"/>
      <c r="H9" s="7"/>
      <c r="I9" s="7"/>
      <c r="J9" s="7"/>
    </row>
    <row r="10" spans="1:10" ht="42" customHeight="1">
      <c r="A10" s="5" t="s">
        <v>19</v>
      </c>
      <c r="B10" s="5"/>
      <c r="C10" s="5"/>
      <c r="D10" s="5"/>
      <c r="E10" s="5"/>
      <c r="F10" s="5"/>
      <c r="G10" s="5"/>
      <c r="H10" s="5"/>
      <c r="I10" s="5"/>
      <c r="J10" s="5"/>
    </row>
    <row r="11" spans="1:10">
      <c r="A11" s="1"/>
      <c r="B11" s="1"/>
      <c r="C11" s="1"/>
      <c r="D11" s="1"/>
      <c r="E11" s="1"/>
      <c r="F11" s="1"/>
      <c r="G11" s="1"/>
      <c r="H11" s="1"/>
      <c r="I11" s="1"/>
      <c r="J11" s="1"/>
    </row>
    <row r="12" spans="1:10">
      <c r="A12" s="6" t="s">
        <v>20</v>
      </c>
      <c r="B12" s="7"/>
      <c r="C12" s="7"/>
      <c r="D12" s="7"/>
      <c r="E12" s="7"/>
      <c r="F12" s="7"/>
      <c r="G12" s="7"/>
      <c r="H12" s="7"/>
      <c r="I12" s="7"/>
      <c r="J12" s="7"/>
    </row>
    <row r="13" spans="1:10" ht="42" customHeight="1">
      <c r="A13" s="5" t="s">
        <v>21</v>
      </c>
      <c r="B13" s="5"/>
      <c r="C13" s="5"/>
      <c r="D13" s="5"/>
      <c r="E13" s="5"/>
      <c r="F13" s="5"/>
      <c r="G13" s="5"/>
      <c r="H13" s="5"/>
      <c r="I13" s="5"/>
      <c r="J13" s="5"/>
    </row>
    <row r="14" spans="1:10">
      <c r="A14" s="1"/>
      <c r="B14" s="1"/>
      <c r="C14" s="1"/>
      <c r="D14" s="1"/>
      <c r="E14" s="1"/>
      <c r="F14" s="1"/>
      <c r="G14" s="1"/>
      <c r="H14" s="1"/>
      <c r="I14" s="1"/>
      <c r="J14" s="1"/>
    </row>
    <row r="15" spans="1:10">
      <c r="A15" s="1"/>
      <c r="B15" s="1"/>
      <c r="C15" s="1"/>
      <c r="D15" s="1"/>
      <c r="E15" s="1"/>
      <c r="F15" s="1"/>
      <c r="G15" s="1"/>
      <c r="H15" s="1"/>
      <c r="I15" s="1"/>
      <c r="J15" s="1"/>
    </row>
    <row r="16" spans="1:10">
      <c r="A16" s="6" t="s">
        <v>22</v>
      </c>
      <c r="B16" s="7"/>
      <c r="C16" s="7"/>
      <c r="D16" s="7"/>
      <c r="E16" s="7"/>
      <c r="F16" s="7"/>
      <c r="G16" s="7"/>
      <c r="H16" s="7"/>
      <c r="I16" s="7"/>
      <c r="J16" s="7"/>
    </row>
    <row r="17" spans="1:10" ht="42" customHeight="1">
      <c r="A17" s="5" t="s">
        <v>23</v>
      </c>
      <c r="B17" s="5"/>
      <c r="C17" s="5"/>
      <c r="D17" s="5"/>
      <c r="E17" s="5"/>
      <c r="F17" s="5"/>
      <c r="G17" s="5"/>
      <c r="H17" s="5"/>
      <c r="I17" s="5"/>
      <c r="J17" s="5"/>
    </row>
    <row r="18" spans="1:10">
      <c r="A18" s="1"/>
      <c r="B18" s="1"/>
      <c r="C18" s="1"/>
      <c r="D18" s="1"/>
      <c r="E18" s="1"/>
      <c r="F18" s="1"/>
      <c r="G18" s="1"/>
      <c r="H18" s="1"/>
      <c r="I18" s="1"/>
      <c r="J18" s="1"/>
    </row>
    <row r="19" spans="1:10">
      <c r="A19" s="1"/>
      <c r="B19" s="1"/>
      <c r="C19" s="1"/>
      <c r="D19" s="1"/>
      <c r="E19" s="1"/>
      <c r="F19" s="1"/>
      <c r="G19" s="1"/>
      <c r="H19" s="1"/>
      <c r="I19" s="1"/>
      <c r="J19" s="1"/>
    </row>
    <row r="20" spans="1:10">
      <c r="A20" s="6" t="s">
        <v>24</v>
      </c>
      <c r="B20" s="7"/>
      <c r="C20" s="7"/>
      <c r="D20" s="7"/>
      <c r="E20" s="7"/>
      <c r="F20" s="7"/>
      <c r="G20" s="7"/>
      <c r="H20" s="7"/>
      <c r="I20" s="7"/>
      <c r="J20" s="7"/>
    </row>
    <row r="21" spans="1:10" ht="42" customHeight="1">
      <c r="A21" s="5" t="s">
        <v>25</v>
      </c>
      <c r="B21" s="5"/>
      <c r="C21" s="5"/>
      <c r="D21" s="5"/>
      <c r="E21" s="5"/>
      <c r="F21" s="5"/>
      <c r="G21" s="5"/>
      <c r="H21" s="5"/>
      <c r="I21" s="5"/>
      <c r="J21" s="5"/>
    </row>
    <row r="22" spans="1:10">
      <c r="A22" s="1"/>
      <c r="B22" s="1"/>
      <c r="C22" s="1"/>
      <c r="D22" s="1"/>
      <c r="E22" s="1"/>
      <c r="F22" s="1"/>
      <c r="G22" s="1"/>
      <c r="H22" s="1"/>
      <c r="I22" s="1"/>
      <c r="J22" s="1"/>
    </row>
    <row r="23" spans="1:10">
      <c r="A23" s="1"/>
      <c r="B23" s="1"/>
      <c r="C23" s="1"/>
      <c r="D23" s="1"/>
      <c r="E23" s="1"/>
      <c r="F23" s="1"/>
      <c r="G23" s="1"/>
      <c r="H23" s="1"/>
      <c r="I23" s="1"/>
      <c r="J23" s="1"/>
    </row>
    <row r="24" spans="1:10">
      <c r="A24" s="6" t="s">
        <v>26</v>
      </c>
      <c r="B24" s="7"/>
      <c r="C24" s="7"/>
      <c r="D24" s="7"/>
      <c r="E24" s="7"/>
      <c r="F24" s="7"/>
      <c r="G24" s="7"/>
      <c r="H24" s="7"/>
      <c r="I24" s="7"/>
      <c r="J24" s="7"/>
    </row>
    <row r="25" spans="1:10" ht="42" customHeight="1">
      <c r="A25" s="5" t="s">
        <v>27</v>
      </c>
      <c r="B25" s="5"/>
      <c r="C25" s="5"/>
      <c r="D25" s="5"/>
      <c r="E25" s="5"/>
      <c r="F25" s="5"/>
      <c r="G25" s="5"/>
      <c r="H25" s="5"/>
      <c r="I25" s="5"/>
      <c r="J25" s="5"/>
    </row>
    <row r="26" spans="1:10">
      <c r="A26" s="1"/>
      <c r="B26" s="1"/>
      <c r="C26" s="1"/>
      <c r="D26" s="1"/>
      <c r="E26" s="1"/>
      <c r="F26" s="1"/>
      <c r="G26" s="1"/>
      <c r="H26" s="1"/>
      <c r="I26" s="1"/>
      <c r="J26" s="1"/>
    </row>
    <row r="27" spans="1:10">
      <c r="A27" s="1"/>
      <c r="B27" s="1"/>
      <c r="C27" s="1"/>
      <c r="D27" s="1"/>
      <c r="E27" s="1"/>
      <c r="F27" s="1"/>
      <c r="G27" s="1"/>
      <c r="H27" s="1"/>
      <c r="I27" s="1"/>
      <c r="J27" s="1"/>
    </row>
    <row r="28" spans="1:10">
      <c r="A28" s="6" t="s">
        <v>28</v>
      </c>
      <c r="B28" s="7"/>
      <c r="C28" s="7"/>
      <c r="D28" s="7"/>
      <c r="E28" s="7"/>
      <c r="F28" s="7"/>
      <c r="G28" s="7"/>
      <c r="H28" s="7"/>
      <c r="I28" s="7"/>
      <c r="J28" s="7"/>
    </row>
    <row r="29" spans="1:10" ht="54" customHeight="1">
      <c r="A29" s="5" t="s">
        <v>29</v>
      </c>
      <c r="B29" s="5"/>
      <c r="C29" s="5"/>
      <c r="D29" s="5"/>
      <c r="E29" s="5"/>
      <c r="F29" s="5"/>
      <c r="G29" s="5"/>
      <c r="H29" s="5"/>
      <c r="I29" s="5"/>
      <c r="J29" s="5"/>
    </row>
    <row r="30" spans="1:10">
      <c r="A30" s="1"/>
      <c r="B30" s="1"/>
      <c r="C30" s="1"/>
      <c r="D30" s="1"/>
      <c r="E30" s="1"/>
      <c r="F30" s="1"/>
      <c r="G30" s="1"/>
      <c r="H30" s="1"/>
      <c r="I30" s="1"/>
      <c r="J30" s="1"/>
    </row>
    <row r="31" spans="1:10">
      <c r="A31" s="1"/>
      <c r="B31" s="1"/>
      <c r="C31" s="1"/>
      <c r="D31" s="1"/>
      <c r="E31" s="1"/>
      <c r="F31" s="1"/>
      <c r="G31" s="1"/>
      <c r="H31" s="1"/>
      <c r="I31" s="1"/>
      <c r="J31" s="1"/>
    </row>
    <row r="32" spans="1:10">
      <c r="A32" s="1"/>
      <c r="B32" s="1"/>
      <c r="C32" s="1"/>
      <c r="D32" s="1"/>
      <c r="E32" s="1"/>
      <c r="F32" s="1"/>
      <c r="G32" s="1"/>
      <c r="H32" s="1"/>
      <c r="I32" s="1"/>
      <c r="J32" s="1"/>
    </row>
    <row r="33" spans="1:10">
      <c r="A33" s="6" t="s">
        <v>30</v>
      </c>
      <c r="B33" s="7"/>
      <c r="C33" s="7"/>
      <c r="D33" s="7"/>
      <c r="E33" s="7"/>
      <c r="F33" s="7"/>
      <c r="G33" s="7"/>
      <c r="H33" s="7"/>
      <c r="I33" s="7"/>
      <c r="J33" s="7"/>
    </row>
    <row r="34" spans="1:10" ht="42" customHeight="1">
      <c r="A34" s="5" t="s">
        <v>31</v>
      </c>
      <c r="B34" s="5"/>
      <c r="C34" s="5"/>
      <c r="D34" s="5"/>
      <c r="E34" s="5"/>
      <c r="F34" s="5"/>
      <c r="G34" s="5"/>
      <c r="H34" s="5"/>
      <c r="I34" s="5"/>
      <c r="J34" s="5"/>
    </row>
    <row r="35" spans="1:10">
      <c r="A35" s="1"/>
      <c r="B35" s="1"/>
      <c r="C35" s="1"/>
      <c r="D35" s="1"/>
      <c r="E35" s="1"/>
      <c r="F35" s="1"/>
      <c r="G35" s="1"/>
      <c r="H35" s="1"/>
      <c r="I35" s="1"/>
      <c r="J35" s="1"/>
    </row>
    <row r="36" spans="1:10">
      <c r="A36" s="1"/>
      <c r="B36" s="1"/>
      <c r="C36" s="1"/>
      <c r="D36" s="1"/>
      <c r="E36" s="1"/>
      <c r="F36" s="1"/>
      <c r="G36" s="1"/>
      <c r="H36" s="1"/>
      <c r="I36" s="1"/>
      <c r="J36" s="1"/>
    </row>
    <row r="37" spans="1:10">
      <c r="A37" s="6" t="s">
        <v>32</v>
      </c>
      <c r="B37" s="7"/>
      <c r="C37" s="7"/>
      <c r="D37" s="7"/>
      <c r="E37" s="7"/>
      <c r="F37" s="7"/>
      <c r="G37" s="7"/>
      <c r="H37" s="7"/>
      <c r="I37" s="7"/>
      <c r="J37" s="7"/>
    </row>
    <row r="38" spans="1:10" ht="42" customHeight="1">
      <c r="A38" s="5" t="s">
        <v>33</v>
      </c>
      <c r="B38" s="5"/>
      <c r="C38" s="5"/>
      <c r="D38" s="5"/>
      <c r="E38" s="5"/>
      <c r="F38" s="5"/>
      <c r="G38" s="5"/>
      <c r="H38" s="5"/>
      <c r="I38" s="5"/>
      <c r="J38" s="5"/>
    </row>
    <row r="39" spans="1:10">
      <c r="A39" s="1"/>
      <c r="B39" s="1"/>
      <c r="C39" s="1"/>
      <c r="D39" s="1"/>
      <c r="E39" s="1"/>
      <c r="F39" s="1"/>
      <c r="G39" s="1"/>
      <c r="H39" s="1"/>
      <c r="I39" s="1"/>
      <c r="J39" s="1"/>
    </row>
    <row r="40" spans="1:10">
      <c r="A40" s="1"/>
      <c r="B40" s="1"/>
      <c r="C40" s="1"/>
      <c r="D40" s="1"/>
      <c r="E40" s="1"/>
      <c r="F40" s="1"/>
      <c r="G40" s="1"/>
      <c r="H40" s="1"/>
      <c r="I40" s="1"/>
      <c r="J40" s="1"/>
    </row>
    <row r="41" spans="1:10">
      <c r="A41" s="6" t="s">
        <v>34</v>
      </c>
      <c r="B41" s="7"/>
      <c r="C41" s="7"/>
      <c r="D41" s="7"/>
      <c r="E41" s="7"/>
      <c r="F41" s="7"/>
      <c r="G41" s="7"/>
      <c r="H41" s="7"/>
      <c r="I41" s="7"/>
      <c r="J41" s="7"/>
    </row>
    <row r="42" spans="1:10" ht="42" customHeight="1">
      <c r="A42" s="5" t="s">
        <v>35</v>
      </c>
      <c r="B42" s="5"/>
      <c r="C42" s="5"/>
      <c r="D42" s="5"/>
      <c r="E42" s="5"/>
      <c r="F42" s="5"/>
      <c r="G42" s="5"/>
      <c r="H42" s="5"/>
      <c r="I42" s="5"/>
      <c r="J42"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sheetPr>
  <dimension ref="A1:G24"/>
  <sheetViews>
    <sheetView showGridLines="0" workbookViewId="0">
      <pane ySplit="6" topLeftCell="A7" activePane="bottomLeft" state="frozen"/>
      <selection pane="bottomLeft"/>
    </sheetView>
  </sheetViews>
  <sheetFormatPr baseColWidth="10" defaultColWidth="8.83203125" defaultRowHeight="14"/>
  <cols>
    <col min="1" max="1" width="38" customWidth="1"/>
    <col min="2" max="3" width="18" customWidth="1"/>
    <col min="4" max="4" width="20" customWidth="1"/>
    <col min="5" max="5" width="48" customWidth="1"/>
  </cols>
  <sheetData>
    <row r="1" spans="1:7">
      <c r="A1" s="1"/>
      <c r="B1" s="1"/>
      <c r="C1" s="1"/>
      <c r="D1" s="1"/>
      <c r="E1" s="1"/>
      <c r="F1" s="1"/>
      <c r="G1" s="1"/>
    </row>
    <row r="2" spans="1:7" ht="19">
      <c r="A2" s="2" t="s">
        <v>36</v>
      </c>
      <c r="B2" s="1"/>
      <c r="C2" s="1"/>
      <c r="D2" s="1"/>
      <c r="E2" s="1"/>
      <c r="F2" s="1"/>
      <c r="G2" s="1"/>
    </row>
    <row r="3" spans="1:7">
      <c r="A3" s="3" t="s">
        <v>15</v>
      </c>
      <c r="B3" s="1"/>
      <c r="C3" s="1"/>
      <c r="D3" s="1"/>
      <c r="E3" s="1"/>
      <c r="F3" s="1"/>
      <c r="G3" s="1"/>
    </row>
    <row r="4" spans="1:7">
      <c r="A4" s="4"/>
      <c r="B4" s="4"/>
      <c r="C4" s="4"/>
      <c r="D4" s="4"/>
      <c r="E4" s="4"/>
      <c r="F4" s="4"/>
      <c r="G4" s="4"/>
    </row>
    <row r="5" spans="1:7">
      <c r="A5" s="1"/>
      <c r="B5" s="1"/>
      <c r="C5" s="1"/>
      <c r="D5" s="1"/>
      <c r="E5" s="1"/>
      <c r="F5" s="1"/>
      <c r="G5" s="1"/>
    </row>
    <row r="6" spans="1:7">
      <c r="A6" s="8" t="s">
        <v>37</v>
      </c>
      <c r="B6" s="9" t="s">
        <v>38</v>
      </c>
      <c r="C6" s="9" t="s">
        <v>39</v>
      </c>
      <c r="D6" s="9" t="s">
        <v>40</v>
      </c>
      <c r="E6" s="9" t="s">
        <v>41</v>
      </c>
      <c r="F6" s="1"/>
      <c r="G6" s="1"/>
    </row>
    <row r="7" spans="1:7">
      <c r="A7" s="1" t="s">
        <v>42</v>
      </c>
      <c r="B7" s="12">
        <v>2026</v>
      </c>
      <c r="C7" s="1" t="s">
        <v>43</v>
      </c>
      <c r="D7" s="1" t="s">
        <v>0</v>
      </c>
      <c r="E7" s="15" t="s">
        <v>44</v>
      </c>
      <c r="F7" s="1"/>
      <c r="G7" s="1"/>
    </row>
    <row r="8" spans="1:7">
      <c r="A8" s="1" t="s">
        <v>45</v>
      </c>
      <c r="B8" s="13">
        <v>1200000</v>
      </c>
      <c r="C8" s="1" t="s">
        <v>1</v>
      </c>
      <c r="D8" s="1" t="s">
        <v>0</v>
      </c>
      <c r="E8" s="15" t="s">
        <v>46</v>
      </c>
      <c r="F8" s="1"/>
      <c r="G8" s="1"/>
    </row>
    <row r="9" spans="1:7">
      <c r="A9" s="1" t="s">
        <v>47</v>
      </c>
      <c r="B9" s="14">
        <v>1</v>
      </c>
      <c r="C9" s="1" t="s">
        <v>2</v>
      </c>
      <c r="D9" s="1" t="s">
        <v>0</v>
      </c>
      <c r="E9" s="15" t="s">
        <v>48</v>
      </c>
      <c r="F9" s="1"/>
      <c r="G9" s="1"/>
    </row>
    <row r="10" spans="1:7">
      <c r="A10" s="1" t="s">
        <v>49</v>
      </c>
      <c r="B10" s="11" t="s">
        <v>3</v>
      </c>
      <c r="C10" s="1" t="s">
        <v>50</v>
      </c>
      <c r="D10" s="1" t="s">
        <v>0</v>
      </c>
      <c r="E10" s="15" t="s">
        <v>51</v>
      </c>
      <c r="F10" s="1"/>
      <c r="G10" s="1"/>
    </row>
    <row r="11" spans="1:7">
      <c r="A11" s="1" t="s">
        <v>52</v>
      </c>
      <c r="B11" s="11" t="s">
        <v>4</v>
      </c>
      <c r="C11" s="1" t="s">
        <v>53</v>
      </c>
      <c r="D11" s="1" t="s">
        <v>0</v>
      </c>
      <c r="E11" s="15" t="s">
        <v>54</v>
      </c>
      <c r="F11" s="1"/>
      <c r="G11" s="1"/>
    </row>
    <row r="12" spans="1:7">
      <c r="A12" s="1" t="s">
        <v>55</v>
      </c>
      <c r="B12" s="11">
        <v>2</v>
      </c>
      <c r="C12" s="1" t="s">
        <v>56</v>
      </c>
      <c r="D12" s="1" t="s">
        <v>0</v>
      </c>
      <c r="E12" s="15" t="s">
        <v>57</v>
      </c>
      <c r="F12" s="1"/>
      <c r="G12" s="1"/>
    </row>
    <row r="13" spans="1:7">
      <c r="A13" s="16" t="s">
        <v>58</v>
      </c>
      <c r="B13" s="17">
        <v>0.01</v>
      </c>
      <c r="C13" s="16" t="s">
        <v>59</v>
      </c>
      <c r="D13" s="16" t="s">
        <v>0</v>
      </c>
      <c r="E13" s="18" t="s">
        <v>60</v>
      </c>
      <c r="F13" s="1"/>
      <c r="G13" s="1"/>
    </row>
    <row r="14" spans="1:7">
      <c r="A14" s="1"/>
      <c r="B14" s="1"/>
      <c r="C14" s="1"/>
      <c r="D14" s="1"/>
      <c r="E14" s="1"/>
      <c r="F14" s="1"/>
      <c r="G14" s="1"/>
    </row>
    <row r="15" spans="1:7">
      <c r="A15" s="1"/>
      <c r="B15" s="1"/>
      <c r="C15" s="1"/>
      <c r="D15" s="1"/>
      <c r="E15" s="1"/>
      <c r="F15" s="1"/>
      <c r="G15" s="1"/>
    </row>
    <row r="16" spans="1:7">
      <c r="A16" s="19" t="s">
        <v>61</v>
      </c>
      <c r="B16" s="19"/>
      <c r="C16" s="19"/>
      <c r="D16" s="19"/>
      <c r="E16" s="19"/>
      <c r="F16" s="1"/>
      <c r="G16" s="1"/>
    </row>
    <row r="17" spans="1:7">
      <c r="A17" s="1"/>
      <c r="B17" s="1"/>
      <c r="C17" s="1"/>
      <c r="D17" s="1"/>
      <c r="E17" s="1"/>
      <c r="F17" s="1"/>
      <c r="G17" s="1"/>
    </row>
    <row r="18" spans="1:7">
      <c r="A18" s="11" t="s">
        <v>62</v>
      </c>
      <c r="B18" s="1" t="s">
        <v>30</v>
      </c>
      <c r="C18" s="1"/>
      <c r="D18" s="1"/>
      <c r="E18" s="1"/>
      <c r="F18" s="1"/>
      <c r="G18" s="1"/>
    </row>
    <row r="19" spans="1:7">
      <c r="A19" s="20" t="s">
        <v>63</v>
      </c>
      <c r="B19" s="1" t="s">
        <v>64</v>
      </c>
      <c r="C19" s="1"/>
      <c r="D19" s="1"/>
      <c r="E19" s="1"/>
      <c r="F19" s="1"/>
      <c r="G19" s="1"/>
    </row>
    <row r="20" spans="1:7">
      <c r="A20" s="21" t="s">
        <v>65</v>
      </c>
      <c r="B20" s="1" t="s">
        <v>66</v>
      </c>
      <c r="C20" s="1"/>
      <c r="D20" s="1"/>
      <c r="E20" s="1"/>
      <c r="F20" s="1"/>
      <c r="G20" s="1"/>
    </row>
    <row r="21" spans="1:7">
      <c r="A21" s="22" t="s">
        <v>67</v>
      </c>
      <c r="B21" s="1" t="s">
        <v>68</v>
      </c>
      <c r="C21" s="1"/>
      <c r="D21" s="1"/>
      <c r="E21" s="1"/>
      <c r="F21" s="1"/>
      <c r="G21" s="1"/>
    </row>
    <row r="22" spans="1:7">
      <c r="A22" s="1"/>
      <c r="B22" s="1"/>
      <c r="C22" s="1"/>
      <c r="D22" s="1"/>
      <c r="E22" s="1"/>
      <c r="F22" s="1"/>
      <c r="G22" s="1"/>
    </row>
    <row r="23" spans="1:7">
      <c r="A23" s="1"/>
      <c r="B23" s="1"/>
      <c r="C23" s="1"/>
      <c r="D23" s="1"/>
      <c r="E23" s="1"/>
      <c r="F23" s="1"/>
      <c r="G23" s="1"/>
    </row>
    <row r="24" spans="1:7">
      <c r="A24" s="1"/>
      <c r="B24" s="1"/>
      <c r="C24" s="1"/>
      <c r="D24" s="1"/>
      <c r="E24" s="1"/>
      <c r="F24" s="1"/>
      <c r="G24"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9D18E"/>
  </sheetPr>
  <dimension ref="A1:I22"/>
  <sheetViews>
    <sheetView showGridLines="0" workbookViewId="0">
      <pane xSplit="2" ySplit="6" topLeftCell="C7" activePane="bottomRight" state="frozen"/>
      <selection pane="topRight"/>
      <selection pane="bottomLeft"/>
      <selection pane="bottomRight" activeCell="C7" sqref="C7"/>
    </sheetView>
  </sheetViews>
  <sheetFormatPr baseColWidth="10" defaultColWidth="8.83203125" defaultRowHeight="14"/>
  <cols>
    <col min="1" max="1" width="16" customWidth="1"/>
    <col min="2" max="2" width="29" customWidth="1"/>
    <col min="3" max="3" width="22" customWidth="1"/>
    <col min="4" max="4" width="14" customWidth="1"/>
    <col min="5" max="5" width="12" customWidth="1"/>
    <col min="6" max="6" width="18" customWidth="1"/>
    <col min="7" max="8" width="12" customWidth="1"/>
    <col min="9" max="9" width="11" customWidth="1"/>
  </cols>
  <sheetData>
    <row r="1" spans="1:9">
      <c r="A1" s="1"/>
      <c r="B1" s="1"/>
      <c r="C1" s="1"/>
      <c r="D1" s="1"/>
      <c r="E1" s="1"/>
      <c r="F1" s="1"/>
      <c r="G1" s="1"/>
      <c r="H1" s="1"/>
      <c r="I1" s="1"/>
    </row>
    <row r="2" spans="1:9" ht="19">
      <c r="A2" s="2" t="s">
        <v>69</v>
      </c>
      <c r="B2" s="1"/>
      <c r="C2" s="1"/>
      <c r="D2" s="1"/>
      <c r="E2" s="1"/>
      <c r="F2" s="1"/>
      <c r="G2" s="1"/>
      <c r="H2" s="1"/>
      <c r="I2" s="1"/>
    </row>
    <row r="3" spans="1:9">
      <c r="A3" s="3" t="s">
        <v>15</v>
      </c>
      <c r="B3" s="1"/>
      <c r="C3" s="1"/>
      <c r="D3" s="1"/>
      <c r="E3" s="1"/>
      <c r="F3" s="1"/>
      <c r="G3" s="1"/>
      <c r="H3" s="1"/>
      <c r="I3" s="1"/>
    </row>
    <row r="4" spans="1:9">
      <c r="A4" s="4"/>
      <c r="B4" s="4"/>
      <c r="C4" s="4"/>
      <c r="D4" s="4"/>
      <c r="E4" s="4"/>
      <c r="F4" s="4"/>
      <c r="G4" s="4"/>
      <c r="H4" s="4"/>
      <c r="I4" s="4"/>
    </row>
    <row r="5" spans="1:9">
      <c r="A5" s="1"/>
      <c r="B5" s="1"/>
      <c r="C5" s="1"/>
      <c r="D5" s="1"/>
      <c r="E5" s="1"/>
      <c r="F5" s="1"/>
      <c r="G5" s="1"/>
      <c r="H5" s="1"/>
      <c r="I5" s="1"/>
    </row>
    <row r="6" spans="1:9" ht="28">
      <c r="A6" s="8" t="s">
        <v>70</v>
      </c>
      <c r="B6" s="9" t="s">
        <v>71</v>
      </c>
      <c r="C6" s="9" t="s">
        <v>72</v>
      </c>
      <c r="D6" s="9" t="s">
        <v>52</v>
      </c>
      <c r="E6" s="9" t="s">
        <v>73</v>
      </c>
      <c r="F6" s="9" t="s">
        <v>74</v>
      </c>
      <c r="G6" s="9" t="s">
        <v>75</v>
      </c>
      <c r="H6" s="9" t="s">
        <v>76</v>
      </c>
      <c r="I6" s="10" t="s">
        <v>77</v>
      </c>
    </row>
    <row r="7" spans="1:9">
      <c r="A7" s="1" t="s">
        <v>5</v>
      </c>
      <c r="B7" s="1" t="s">
        <v>78</v>
      </c>
      <c r="C7" s="1" t="s">
        <v>79</v>
      </c>
      <c r="D7" s="1" t="s">
        <v>4</v>
      </c>
      <c r="E7" s="24">
        <v>0.70299999999999996</v>
      </c>
      <c r="F7" s="24">
        <v>0.08</v>
      </c>
      <c r="G7" s="25">
        <f>Supuestos!$B$9*E7</f>
        <v>0.70299999999999996</v>
      </c>
      <c r="H7" s="25">
        <f t="shared" ref="H7:H15" si="0">G7/(1-F7)</f>
        <v>0.76413043478260867</v>
      </c>
      <c r="I7" s="11" t="s">
        <v>80</v>
      </c>
    </row>
    <row r="8" spans="1:9">
      <c r="A8" s="1" t="s">
        <v>6</v>
      </c>
      <c r="B8" s="1" t="s">
        <v>81</v>
      </c>
      <c r="C8" s="1" t="s">
        <v>79</v>
      </c>
      <c r="D8" s="1" t="s">
        <v>4</v>
      </c>
      <c r="E8" s="24">
        <v>0.122</v>
      </c>
      <c r="F8" s="24">
        <v>0.12</v>
      </c>
      <c r="G8" s="25">
        <f>Supuestos!$B$9*E8</f>
        <v>0.122</v>
      </c>
      <c r="H8" s="25">
        <f t="shared" si="0"/>
        <v>0.13863636363636364</v>
      </c>
      <c r="I8" s="11" t="s">
        <v>80</v>
      </c>
    </row>
    <row r="9" spans="1:9">
      <c r="A9" s="1" t="s">
        <v>7</v>
      </c>
      <c r="B9" s="1" t="s">
        <v>82</v>
      </c>
      <c r="C9" s="1" t="s">
        <v>79</v>
      </c>
      <c r="D9" s="1" t="s">
        <v>4</v>
      </c>
      <c r="E9" s="24">
        <v>7.2999999999999995E-2</v>
      </c>
      <c r="F9" s="24">
        <v>0.15</v>
      </c>
      <c r="G9" s="25">
        <f>Supuestos!$B$9*E9</f>
        <v>7.2999999999999995E-2</v>
      </c>
      <c r="H9" s="25">
        <f t="shared" si="0"/>
        <v>8.5882352941176465E-2</v>
      </c>
      <c r="I9" s="11" t="s">
        <v>80</v>
      </c>
    </row>
    <row r="10" spans="1:9">
      <c r="A10" s="1" t="s">
        <v>8</v>
      </c>
      <c r="B10" s="1" t="s">
        <v>83</v>
      </c>
      <c r="C10" s="1" t="s">
        <v>79</v>
      </c>
      <c r="D10" s="1" t="s">
        <v>4</v>
      </c>
      <c r="E10" s="24">
        <v>4.3999999999999997E-2</v>
      </c>
      <c r="F10" s="24">
        <v>0.1</v>
      </c>
      <c r="G10" s="25">
        <f>Supuestos!$B$9*E10</f>
        <v>4.3999999999999997E-2</v>
      </c>
      <c r="H10" s="25">
        <f t="shared" si="0"/>
        <v>4.8888888888888885E-2</v>
      </c>
      <c r="I10" s="11" t="s">
        <v>80</v>
      </c>
    </row>
    <row r="11" spans="1:9">
      <c r="A11" s="1" t="s">
        <v>9</v>
      </c>
      <c r="B11" s="1" t="s">
        <v>84</v>
      </c>
      <c r="C11" s="1" t="s">
        <v>79</v>
      </c>
      <c r="D11" s="1" t="s">
        <v>4</v>
      </c>
      <c r="E11" s="24">
        <v>8.0000000000000002E-3</v>
      </c>
      <c r="F11" s="24">
        <v>0.08</v>
      </c>
      <c r="G11" s="25">
        <f>Supuestos!$B$9*E11</f>
        <v>8.0000000000000002E-3</v>
      </c>
      <c r="H11" s="25">
        <f t="shared" si="0"/>
        <v>8.6956521739130436E-3</v>
      </c>
      <c r="I11" s="11" t="s">
        <v>80</v>
      </c>
    </row>
    <row r="12" spans="1:9">
      <c r="A12" s="1" t="s">
        <v>10</v>
      </c>
      <c r="B12" s="1" t="s">
        <v>85</v>
      </c>
      <c r="C12" s="1" t="s">
        <v>86</v>
      </c>
      <c r="D12" s="1" t="s">
        <v>4</v>
      </c>
      <c r="E12" s="24">
        <v>2.5999999999999999E-2</v>
      </c>
      <c r="F12" s="24">
        <v>5.0000000000000001E-3</v>
      </c>
      <c r="G12" s="25">
        <f>Supuestos!$B$9*E12</f>
        <v>2.5999999999999999E-2</v>
      </c>
      <c r="H12" s="25">
        <f t="shared" si="0"/>
        <v>2.6130653266331658E-2</v>
      </c>
      <c r="I12" s="11" t="s">
        <v>80</v>
      </c>
    </row>
    <row r="13" spans="1:9">
      <c r="A13" s="1" t="s">
        <v>11</v>
      </c>
      <c r="B13" s="1" t="s">
        <v>87</v>
      </c>
      <c r="C13" s="1" t="s">
        <v>88</v>
      </c>
      <c r="D13" s="1" t="s">
        <v>4</v>
      </c>
      <c r="E13" s="24">
        <v>1.2999999999999999E-2</v>
      </c>
      <c r="F13" s="24">
        <v>5.0000000000000001E-3</v>
      </c>
      <c r="G13" s="25">
        <f>Supuestos!$B$9*E13</f>
        <v>1.2999999999999999E-2</v>
      </c>
      <c r="H13" s="25">
        <f t="shared" si="0"/>
        <v>1.3065326633165829E-2</v>
      </c>
      <c r="I13" s="11" t="s">
        <v>80</v>
      </c>
    </row>
    <row r="14" spans="1:9">
      <c r="A14" s="1" t="s">
        <v>12</v>
      </c>
      <c r="B14" s="1" t="s">
        <v>89</v>
      </c>
      <c r="C14" s="1" t="s">
        <v>90</v>
      </c>
      <c r="D14" s="1" t="s">
        <v>4</v>
      </c>
      <c r="E14" s="24">
        <v>7.0000000000000001E-3</v>
      </c>
      <c r="F14" s="24">
        <v>0</v>
      </c>
      <c r="G14" s="25">
        <f>Supuestos!$B$9*E14</f>
        <v>7.0000000000000001E-3</v>
      </c>
      <c r="H14" s="25">
        <f t="shared" si="0"/>
        <v>7.0000000000000001E-3</v>
      </c>
      <c r="I14" s="11" t="s">
        <v>80</v>
      </c>
    </row>
    <row r="15" spans="1:9">
      <c r="A15" s="1" t="s">
        <v>13</v>
      </c>
      <c r="B15" s="1" t="s">
        <v>91</v>
      </c>
      <c r="C15" s="1" t="s">
        <v>88</v>
      </c>
      <c r="D15" s="1" t="s">
        <v>4</v>
      </c>
      <c r="E15" s="24">
        <v>4.0000000000000001E-3</v>
      </c>
      <c r="F15" s="24">
        <v>0.02</v>
      </c>
      <c r="G15" s="25">
        <f>Supuestos!$B$9*E15</f>
        <v>4.0000000000000001E-3</v>
      </c>
      <c r="H15" s="25">
        <f t="shared" si="0"/>
        <v>4.0816326530612249E-3</v>
      </c>
      <c r="I15" s="11" t="s">
        <v>80</v>
      </c>
    </row>
    <row r="16" spans="1:9">
      <c r="A16" s="1"/>
      <c r="B16" s="1"/>
      <c r="C16" s="1"/>
      <c r="D16" s="1"/>
      <c r="E16" s="1"/>
      <c r="F16" s="1"/>
      <c r="G16" s="1"/>
      <c r="H16" s="1"/>
      <c r="I16" s="1"/>
    </row>
    <row r="17" spans="1:9">
      <c r="A17" s="1"/>
      <c r="B17" s="1"/>
      <c r="C17" s="1"/>
      <c r="D17" s="1"/>
      <c r="E17" s="1"/>
      <c r="F17" s="1"/>
      <c r="G17" s="1"/>
      <c r="H17" s="1"/>
      <c r="I17" s="1"/>
    </row>
    <row r="18" spans="1:9">
      <c r="A18" s="19" t="s">
        <v>92</v>
      </c>
      <c r="B18" s="19"/>
      <c r="C18" s="19"/>
      <c r="D18" s="19"/>
      <c r="E18" s="1"/>
      <c r="F18" s="1"/>
      <c r="G18" s="1"/>
      <c r="H18" s="1"/>
      <c r="I18" s="1"/>
    </row>
    <row r="19" spans="1:9">
      <c r="A19" s="1"/>
      <c r="B19" s="1"/>
      <c r="C19" s="1"/>
      <c r="D19" s="1"/>
      <c r="E19" s="1"/>
      <c r="F19" s="1"/>
      <c r="G19" s="1"/>
      <c r="H19" s="1"/>
      <c r="I19" s="1"/>
    </row>
    <row r="20" spans="1:9" ht="78">
      <c r="A20" s="1" t="s">
        <v>93</v>
      </c>
      <c r="B20" s="26">
        <f>SUM(E7:E15)</f>
        <v>1</v>
      </c>
      <c r="C20" s="1"/>
      <c r="D20" s="28" t="s">
        <v>94</v>
      </c>
      <c r="E20" s="28"/>
      <c r="F20" s="28"/>
      <c r="G20" s="28"/>
      <c r="H20" s="28"/>
      <c r="I20" s="28"/>
    </row>
    <row r="21" spans="1:9">
      <c r="A21" s="1" t="s">
        <v>95</v>
      </c>
      <c r="B21" s="21" t="str">
        <f>IF(ABS(B20-1)&lt;0.0000001,"OK","ALERTA – LA RECETA NO SUMA EL 100%")</f>
        <v>OK</v>
      </c>
      <c r="C21" s="1"/>
      <c r="D21" s="28"/>
      <c r="E21" s="28"/>
      <c r="F21" s="28"/>
      <c r="G21" s="28"/>
      <c r="H21" s="28"/>
      <c r="I21" s="28"/>
    </row>
    <row r="22" spans="1:9">
      <c r="A22" s="1"/>
      <c r="B22" s="1"/>
      <c r="C22" s="1"/>
      <c r="D22" s="1"/>
      <c r="E22" s="1"/>
      <c r="F22" s="1"/>
      <c r="G22" s="1"/>
      <c r="H22" s="1"/>
      <c r="I22" s="1"/>
    </row>
  </sheetData>
  <conditionalFormatting sqref="B21">
    <cfRule type="containsText" dxfId="7" priority="1" operator="containsText" text="WARNING"/>
    <cfRule type="containsText" dxfId="6" priority="2" operator="containsText" text="ALERTA"/>
  </conditionalFormatting>
  <dataValidations count="1">
    <dataValidation type="list" sqref="I7:I15" xr:uid="{00000000-0002-0000-0200-000000000000}">
      <formula1>"Sí,No"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F23"/>
  <sheetViews>
    <sheetView showGridLines="0" workbookViewId="0">
      <pane ySplit="6" topLeftCell="A7" activePane="bottomLeft" state="frozen"/>
      <selection pane="bottomLeft"/>
    </sheetView>
  </sheetViews>
  <sheetFormatPr baseColWidth="10" defaultColWidth="8.83203125" defaultRowHeight="14"/>
  <cols>
    <col min="1" max="1" width="22" customWidth="1"/>
    <col min="2" max="2" width="23" customWidth="1"/>
    <col min="3" max="3" width="22" customWidth="1"/>
    <col min="4" max="4" width="23" customWidth="1"/>
    <col min="5" max="5" width="22" customWidth="1"/>
    <col min="6" max="6" width="17" customWidth="1"/>
  </cols>
  <sheetData>
    <row r="1" spans="1:6">
      <c r="A1" s="1"/>
      <c r="B1" s="1"/>
      <c r="C1" s="1"/>
      <c r="D1" s="1"/>
      <c r="E1" s="1"/>
      <c r="F1" s="1"/>
    </row>
    <row r="2" spans="1:6" ht="19">
      <c r="A2" s="2" t="s">
        <v>96</v>
      </c>
      <c r="B2" s="1"/>
      <c r="C2" s="1"/>
      <c r="D2" s="1"/>
      <c r="E2" s="1"/>
      <c r="F2" s="1"/>
    </row>
    <row r="3" spans="1:6">
      <c r="A3" s="3" t="s">
        <v>15</v>
      </c>
      <c r="B3" s="1"/>
      <c r="C3" s="1"/>
      <c r="D3" s="1"/>
      <c r="E3" s="1"/>
      <c r="F3" s="1"/>
    </row>
    <row r="4" spans="1:6">
      <c r="A4" s="4"/>
      <c r="B4" s="4"/>
      <c r="C4" s="4"/>
      <c r="D4" s="4"/>
      <c r="E4" s="4"/>
      <c r="F4" s="4"/>
    </row>
    <row r="5" spans="1:6">
      <c r="A5" s="1"/>
      <c r="B5" s="1"/>
      <c r="C5" s="1"/>
      <c r="D5" s="1"/>
      <c r="E5" s="1"/>
      <c r="F5" s="1"/>
    </row>
    <row r="6" spans="1:6" ht="28">
      <c r="A6" s="8" t="s">
        <v>97</v>
      </c>
      <c r="B6" s="9" t="s">
        <v>98</v>
      </c>
      <c r="C6" s="9" t="s">
        <v>99</v>
      </c>
      <c r="D6" s="9" t="s">
        <v>100</v>
      </c>
      <c r="E6" s="9" t="s">
        <v>101</v>
      </c>
      <c r="F6" s="10" t="s">
        <v>102</v>
      </c>
    </row>
    <row r="7" spans="1:6">
      <c r="A7" s="54">
        <v>46023</v>
      </c>
      <c r="B7" s="29">
        <v>100000</v>
      </c>
      <c r="C7" s="30">
        <f>IF(B7="","",B7*SUM(Maestro_Ingredientes!$G$7:$G$15))</f>
        <v>100000</v>
      </c>
      <c r="D7" s="30">
        <f>IF(B7="","",B7*SUM(Maestro_Ingredientes!$H$7:$H$15))</f>
        <v>109651.13049755093</v>
      </c>
      <c r="E7" s="30">
        <f t="shared" ref="E7:E18" si="0">IF(B7="","",D7-C7)</f>
        <v>9651.1304975509265</v>
      </c>
      <c r="F7" s="23" t="str">
        <f t="shared" ref="F7:F18" si="1">IF(B7="","","Introducida")</f>
        <v>Introducida</v>
      </c>
    </row>
    <row r="8" spans="1:6">
      <c r="A8" s="55">
        <v>46054</v>
      </c>
      <c r="B8" s="29"/>
      <c r="C8" s="30" t="str">
        <f>IF(B8="","",B8*SUM(Maestro_Ingredientes!$G$7:$G$15))</f>
        <v/>
      </c>
      <c r="D8" s="30" t="str">
        <f>IF(B8="","",B8*SUM(Maestro_Ingredientes!$H$7:$H$15))</f>
        <v/>
      </c>
      <c r="E8" s="30" t="str">
        <f t="shared" si="0"/>
        <v/>
      </c>
      <c r="F8" s="23" t="str">
        <f t="shared" si="1"/>
        <v/>
      </c>
    </row>
    <row r="9" spans="1:6">
      <c r="A9" s="56">
        <v>46082</v>
      </c>
      <c r="B9" s="29"/>
      <c r="C9" s="30" t="str">
        <f>IF(B9="","",B9*SUM(Maestro_Ingredientes!$G$7:$G$15))</f>
        <v/>
      </c>
      <c r="D9" s="30" t="str">
        <f>IF(B9="","",B9*SUM(Maestro_Ingredientes!$H$7:$H$15))</f>
        <v/>
      </c>
      <c r="E9" s="30" t="str">
        <f t="shared" si="0"/>
        <v/>
      </c>
      <c r="F9" s="23" t="str">
        <f t="shared" si="1"/>
        <v/>
      </c>
    </row>
    <row r="10" spans="1:6">
      <c r="A10" s="57">
        <v>46113</v>
      </c>
      <c r="B10" s="29"/>
      <c r="C10" s="30" t="str">
        <f>IF(B10="","",B10*SUM(Maestro_Ingredientes!$G$7:$G$15))</f>
        <v/>
      </c>
      <c r="D10" s="30" t="str">
        <f>IF(B10="","",B10*SUM(Maestro_Ingredientes!$H$7:$H$15))</f>
        <v/>
      </c>
      <c r="E10" s="30" t="str">
        <f t="shared" si="0"/>
        <v/>
      </c>
      <c r="F10" s="23" t="str">
        <f t="shared" si="1"/>
        <v/>
      </c>
    </row>
    <row r="11" spans="1:6">
      <c r="A11" s="58">
        <v>46143</v>
      </c>
      <c r="B11" s="29"/>
      <c r="C11" s="30" t="str">
        <f>IF(B11="","",B11*SUM(Maestro_Ingredientes!$G$7:$G$15))</f>
        <v/>
      </c>
      <c r="D11" s="30" t="str">
        <f>IF(B11="","",B11*SUM(Maestro_Ingredientes!$H$7:$H$15))</f>
        <v/>
      </c>
      <c r="E11" s="30" t="str">
        <f t="shared" si="0"/>
        <v/>
      </c>
      <c r="F11" s="23" t="str">
        <f t="shared" si="1"/>
        <v/>
      </c>
    </row>
    <row r="12" spans="1:6">
      <c r="A12" s="59">
        <v>46174</v>
      </c>
      <c r="B12" s="29"/>
      <c r="C12" s="30" t="str">
        <f>IF(B12="","",B12*SUM(Maestro_Ingredientes!$G$7:$G$15))</f>
        <v/>
      </c>
      <c r="D12" s="30" t="str">
        <f>IF(B12="","",B12*SUM(Maestro_Ingredientes!$H$7:$H$15))</f>
        <v/>
      </c>
      <c r="E12" s="30" t="str">
        <f t="shared" si="0"/>
        <v/>
      </c>
      <c r="F12" s="23" t="str">
        <f t="shared" si="1"/>
        <v/>
      </c>
    </row>
    <row r="13" spans="1:6">
      <c r="A13" s="60">
        <v>46204</v>
      </c>
      <c r="B13" s="29"/>
      <c r="C13" s="30" t="str">
        <f>IF(B13="","",B13*SUM(Maestro_Ingredientes!$G$7:$G$15))</f>
        <v/>
      </c>
      <c r="D13" s="30" t="str">
        <f>IF(B13="","",B13*SUM(Maestro_Ingredientes!$H$7:$H$15))</f>
        <v/>
      </c>
      <c r="E13" s="30" t="str">
        <f t="shared" si="0"/>
        <v/>
      </c>
      <c r="F13" s="23" t="str">
        <f t="shared" si="1"/>
        <v/>
      </c>
    </row>
    <row r="14" spans="1:6">
      <c r="A14" s="61">
        <v>46235</v>
      </c>
      <c r="B14" s="29"/>
      <c r="C14" s="30" t="str">
        <f>IF(B14="","",B14*SUM(Maestro_Ingredientes!$G$7:$G$15))</f>
        <v/>
      </c>
      <c r="D14" s="30" t="str">
        <f>IF(B14="","",B14*SUM(Maestro_Ingredientes!$H$7:$H$15))</f>
        <v/>
      </c>
      <c r="E14" s="30" t="str">
        <f t="shared" si="0"/>
        <v/>
      </c>
      <c r="F14" s="23" t="str">
        <f t="shared" si="1"/>
        <v/>
      </c>
    </row>
    <row r="15" spans="1:6">
      <c r="A15" s="62">
        <v>46266</v>
      </c>
      <c r="B15" s="29"/>
      <c r="C15" s="30" t="str">
        <f>IF(B15="","",B15*SUM(Maestro_Ingredientes!$G$7:$G$15))</f>
        <v/>
      </c>
      <c r="D15" s="30" t="str">
        <f>IF(B15="","",B15*SUM(Maestro_Ingredientes!$H$7:$H$15))</f>
        <v/>
      </c>
      <c r="E15" s="30" t="str">
        <f t="shared" si="0"/>
        <v/>
      </c>
      <c r="F15" s="23" t="str">
        <f t="shared" si="1"/>
        <v/>
      </c>
    </row>
    <row r="16" spans="1:6">
      <c r="A16" s="63">
        <v>46296</v>
      </c>
      <c r="B16" s="29"/>
      <c r="C16" s="30" t="str">
        <f>IF(B16="","",B16*SUM(Maestro_Ingredientes!$G$7:$G$15))</f>
        <v/>
      </c>
      <c r="D16" s="30" t="str">
        <f>IF(B16="","",B16*SUM(Maestro_Ingredientes!$H$7:$H$15))</f>
        <v/>
      </c>
      <c r="E16" s="30" t="str">
        <f t="shared" si="0"/>
        <v/>
      </c>
      <c r="F16" s="23" t="str">
        <f t="shared" si="1"/>
        <v/>
      </c>
    </row>
    <row r="17" spans="1:6">
      <c r="A17" s="64">
        <v>46327</v>
      </c>
      <c r="B17" s="29"/>
      <c r="C17" s="30" t="str">
        <f>IF(B17="","",B17*SUM(Maestro_Ingredientes!$G$7:$G$15))</f>
        <v/>
      </c>
      <c r="D17" s="30" t="str">
        <f>IF(B17="","",B17*SUM(Maestro_Ingredientes!$H$7:$H$15))</f>
        <v/>
      </c>
      <c r="E17" s="30" t="str">
        <f t="shared" si="0"/>
        <v/>
      </c>
      <c r="F17" s="23" t="str">
        <f t="shared" si="1"/>
        <v/>
      </c>
    </row>
    <row r="18" spans="1:6">
      <c r="A18" s="65">
        <v>46357</v>
      </c>
      <c r="B18" s="29"/>
      <c r="C18" s="30" t="str">
        <f>IF(B18="","",B18*SUM(Maestro_Ingredientes!$G$7:$G$15))</f>
        <v/>
      </c>
      <c r="D18" s="30" t="str">
        <f>IF(B18="","",B18*SUM(Maestro_Ingredientes!$H$7:$H$15))</f>
        <v/>
      </c>
      <c r="E18" s="30" t="str">
        <f t="shared" si="0"/>
        <v/>
      </c>
      <c r="F18" s="23" t="str">
        <f t="shared" si="1"/>
        <v/>
      </c>
    </row>
    <row r="19" spans="1:6">
      <c r="A19" s="1"/>
      <c r="B19" s="1"/>
      <c r="C19" s="1"/>
      <c r="D19" s="1"/>
      <c r="E19" s="1"/>
      <c r="F19" s="1"/>
    </row>
    <row r="20" spans="1:6">
      <c r="A20" s="19" t="s">
        <v>103</v>
      </c>
      <c r="B20" s="19"/>
      <c r="C20" s="19"/>
      <c r="D20" s="19"/>
      <c r="E20" s="19"/>
      <c r="F20" s="19"/>
    </row>
    <row r="21" spans="1:6">
      <c r="A21" s="21" t="s">
        <v>104</v>
      </c>
      <c r="B21" s="31">
        <f>SUM(B7:B18)</f>
        <v>100000</v>
      </c>
      <c r="C21" s="31">
        <f>SUM(C7:C18)</f>
        <v>100000</v>
      </c>
      <c r="D21" s="31">
        <f>SUM(D7:D18)</f>
        <v>109651.13049755093</v>
      </c>
      <c r="E21" s="31">
        <f>SUM(E7:E18)</f>
        <v>9651.1304975509265</v>
      </c>
      <c r="F21" s="1"/>
    </row>
    <row r="22" spans="1:6">
      <c r="A22" s="1"/>
      <c r="B22" s="1"/>
      <c r="C22" s="1"/>
      <c r="D22" s="1"/>
      <c r="E22" s="1"/>
      <c r="F22" s="1"/>
    </row>
    <row r="23" spans="1:6">
      <c r="A23" s="27" t="s">
        <v>105</v>
      </c>
      <c r="B23" s="27"/>
      <c r="C23" s="27"/>
      <c r="D23" s="27"/>
      <c r="E23" s="27"/>
      <c r="F23" s="27"/>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Q116"/>
  <sheetViews>
    <sheetView showGridLines="0" workbookViewId="0">
      <pane xSplit="3" ySplit="6" topLeftCell="D7" activePane="bottomRight" state="frozen"/>
      <selection pane="topRight"/>
      <selection pane="bottomLeft"/>
      <selection pane="bottomRight" activeCell="D7" sqref="D7"/>
    </sheetView>
  </sheetViews>
  <sheetFormatPr baseColWidth="10" defaultColWidth="8.83203125" defaultRowHeight="14"/>
  <cols>
    <col min="1" max="1" width="12" customWidth="1"/>
    <col min="2" max="2" width="15" customWidth="1"/>
    <col min="3" max="3" width="28" customWidth="1"/>
    <col min="4" max="8" width="18" customWidth="1"/>
    <col min="9" max="9" width="17" customWidth="1"/>
    <col min="10" max="11" width="18" customWidth="1"/>
    <col min="12" max="12" width="17" customWidth="1"/>
    <col min="13" max="13" width="18" customWidth="1"/>
    <col min="14" max="14" width="17" customWidth="1"/>
    <col min="15" max="15" width="22" customWidth="1"/>
    <col min="16" max="16" width="19" customWidth="1"/>
    <col min="17" max="17" width="18" customWidth="1"/>
  </cols>
  <sheetData>
    <row r="1" spans="1:17">
      <c r="A1" s="1"/>
      <c r="B1" s="1"/>
      <c r="C1" s="1"/>
      <c r="D1" s="1"/>
      <c r="E1" s="1"/>
      <c r="F1" s="1"/>
      <c r="G1" s="1"/>
      <c r="H1" s="1"/>
      <c r="I1" s="1"/>
      <c r="J1" s="1"/>
      <c r="K1" s="1"/>
      <c r="L1" s="1"/>
      <c r="M1" s="1"/>
      <c r="N1" s="1"/>
      <c r="O1" s="1"/>
      <c r="P1" s="1"/>
      <c r="Q1" s="1"/>
    </row>
    <row r="2" spans="1:17" ht="19">
      <c r="A2" s="2" t="s">
        <v>106</v>
      </c>
      <c r="B2" s="1"/>
      <c r="C2" s="1"/>
      <c r="D2" s="1"/>
      <c r="E2" s="1"/>
      <c r="F2" s="1"/>
      <c r="G2" s="1"/>
      <c r="H2" s="1"/>
      <c r="I2" s="1"/>
      <c r="J2" s="1"/>
      <c r="K2" s="1"/>
      <c r="L2" s="1"/>
      <c r="M2" s="1"/>
      <c r="N2" s="1"/>
      <c r="O2" s="1"/>
      <c r="P2" s="1"/>
      <c r="Q2" s="1"/>
    </row>
    <row r="3" spans="1:17">
      <c r="A3" s="3" t="s">
        <v>15</v>
      </c>
      <c r="B3" s="1"/>
      <c r="C3" s="1"/>
      <c r="D3" s="1"/>
      <c r="E3" s="1"/>
      <c r="F3" s="1"/>
      <c r="G3" s="1"/>
      <c r="H3" s="1"/>
      <c r="I3" s="1"/>
      <c r="J3" s="1"/>
      <c r="K3" s="1"/>
      <c r="L3" s="1"/>
      <c r="M3" s="1"/>
      <c r="N3" s="1"/>
      <c r="O3" s="1"/>
      <c r="P3" s="1"/>
      <c r="Q3" s="1"/>
    </row>
    <row r="4" spans="1:17">
      <c r="A4" s="4"/>
      <c r="B4" s="4"/>
      <c r="C4" s="4"/>
      <c r="D4" s="4"/>
      <c r="E4" s="4"/>
      <c r="F4" s="4"/>
      <c r="G4" s="4"/>
      <c r="H4" s="4"/>
      <c r="I4" s="4"/>
      <c r="J4" s="4"/>
      <c r="K4" s="4"/>
      <c r="L4" s="4"/>
      <c r="M4" s="4"/>
      <c r="N4" s="4"/>
      <c r="O4" s="4"/>
      <c r="P4" s="4"/>
      <c r="Q4" s="4"/>
    </row>
    <row r="5" spans="1:17">
      <c r="A5" s="1"/>
      <c r="B5" s="1"/>
      <c r="C5" s="1"/>
      <c r="D5" s="1"/>
      <c r="E5" s="1"/>
      <c r="F5" s="1"/>
      <c r="G5" s="1"/>
      <c r="H5" s="1"/>
      <c r="I5" s="1"/>
      <c r="J5" s="1"/>
      <c r="K5" s="1"/>
      <c r="L5" s="1"/>
      <c r="M5" s="1"/>
      <c r="N5" s="1"/>
      <c r="O5" s="1"/>
      <c r="P5" s="1"/>
      <c r="Q5" s="1"/>
    </row>
    <row r="6" spans="1:17" ht="42" customHeight="1">
      <c r="A6" s="8" t="s">
        <v>97</v>
      </c>
      <c r="B6" s="9" t="s">
        <v>70</v>
      </c>
      <c r="C6" s="9" t="s">
        <v>71</v>
      </c>
      <c r="D6" s="9" t="s">
        <v>98</v>
      </c>
      <c r="E6" s="9" t="s">
        <v>99</v>
      </c>
      <c r="F6" s="9" t="s">
        <v>100</v>
      </c>
      <c r="G6" s="9" t="s">
        <v>107</v>
      </c>
      <c r="H6" s="9" t="s">
        <v>108</v>
      </c>
      <c r="I6" s="9" t="s">
        <v>109</v>
      </c>
      <c r="J6" s="9" t="s">
        <v>110</v>
      </c>
      <c r="K6" s="9" t="s">
        <v>111</v>
      </c>
      <c r="L6" s="9" t="s">
        <v>112</v>
      </c>
      <c r="M6" s="9" t="s">
        <v>113</v>
      </c>
      <c r="N6" s="9" t="s">
        <v>114</v>
      </c>
      <c r="O6" s="9" t="s">
        <v>115</v>
      </c>
      <c r="P6" s="9" t="s">
        <v>116</v>
      </c>
      <c r="Q6" s="10" t="s">
        <v>117</v>
      </c>
    </row>
    <row r="7" spans="1:17">
      <c r="A7" s="54">
        <v>46023</v>
      </c>
      <c r="B7" s="1" t="s">
        <v>5</v>
      </c>
      <c r="C7" s="23" t="str">
        <f>Maestro_Ingredientes!$B$7</f>
        <v>Tomate pera</v>
      </c>
      <c r="D7" s="30">
        <f>IF(Plan_Produccion!$B$7="","",Plan_Produccion!$B$7)</f>
        <v>100000</v>
      </c>
      <c r="E7" s="30">
        <f>IF(D7="","",D7*Maestro_Ingredientes!$G$7)</f>
        <v>70300</v>
      </c>
      <c r="F7" s="30">
        <f>IF(D7="","",D7*Maestro_Ingredientes!$H$7)</f>
        <v>76413.043478260865</v>
      </c>
      <c r="G7" s="32">
        <f t="shared" ref="G7:G15" si="0">F7</f>
        <v>76413.043478260865</v>
      </c>
      <c r="H7" s="36"/>
      <c r="I7" s="33" t="str">
        <f t="shared" ref="I7:I38" si="1">IF(OR(G7="",H7=""),"",G7*H7)</f>
        <v/>
      </c>
      <c r="J7" s="29"/>
      <c r="K7" s="36"/>
      <c r="L7" s="33" t="str">
        <f t="shared" ref="L7:L38" si="2">IF(OR(J7="",K7=""),"",J7*K7)</f>
        <v/>
      </c>
      <c r="M7" s="32">
        <f t="shared" ref="M7:M38" si="3">IF(COUNTA(G7,J7)=0,"",SUM(G7,J7))</f>
        <v>76413.043478260865</v>
      </c>
      <c r="N7" s="33" t="str">
        <f t="shared" ref="N7:N38" si="4">IF(M7="","",IF(OR(AND(G7&lt;&gt;0,H7=""),AND(J7&lt;&gt;0,K7="")),"",SUM(I7,L7)))</f>
        <v/>
      </c>
      <c r="O7" s="34" t="str">
        <f t="shared" ref="O7:O38" si="5">IF(OR(M7="",M7=0,N7=""),"",N7/M7)</f>
        <v/>
      </c>
      <c r="P7" s="32">
        <f t="shared" ref="P7:P38" si="6">IF(OR(M7="",F7=""),"",M7-F7)</f>
        <v>0</v>
      </c>
      <c r="Q7" s="35">
        <f t="shared" ref="Q7:Q38" si="7">IF(OR(M7="",F7="",F7=0),"",M7/F7)</f>
        <v>1</v>
      </c>
    </row>
    <row r="8" spans="1:17">
      <c r="A8" s="54">
        <v>46023</v>
      </c>
      <c r="B8" s="1" t="s">
        <v>6</v>
      </c>
      <c r="C8" s="23" t="str">
        <f>Maestro_Ingredientes!$B$8</f>
        <v>Pepino</v>
      </c>
      <c r="D8" s="30">
        <f>IF(Plan_Produccion!$B$7="","",Plan_Produccion!$B$7)</f>
        <v>100000</v>
      </c>
      <c r="E8" s="30">
        <f>IF(D8="","",D8*Maestro_Ingredientes!$G$8)</f>
        <v>12200</v>
      </c>
      <c r="F8" s="30">
        <f>IF(D8="","",D8*Maestro_Ingredientes!$H$8)</f>
        <v>13863.636363636364</v>
      </c>
      <c r="G8" s="32">
        <f t="shared" si="0"/>
        <v>13863.636363636364</v>
      </c>
      <c r="H8" s="36"/>
      <c r="I8" s="33" t="str">
        <f t="shared" si="1"/>
        <v/>
      </c>
      <c r="J8" s="29"/>
      <c r="K8" s="36"/>
      <c r="L8" s="33" t="str">
        <f t="shared" si="2"/>
        <v/>
      </c>
      <c r="M8" s="32">
        <f t="shared" si="3"/>
        <v>13863.636363636364</v>
      </c>
      <c r="N8" s="33" t="str">
        <f t="shared" si="4"/>
        <v/>
      </c>
      <c r="O8" s="34" t="str">
        <f t="shared" si="5"/>
        <v/>
      </c>
      <c r="P8" s="32">
        <f t="shared" si="6"/>
        <v>0</v>
      </c>
      <c r="Q8" s="35">
        <f t="shared" si="7"/>
        <v>1</v>
      </c>
    </row>
    <row r="9" spans="1:17">
      <c r="A9" s="54">
        <v>46023</v>
      </c>
      <c r="B9" s="1" t="s">
        <v>7</v>
      </c>
      <c r="C9" s="23" t="str">
        <f>Maestro_Ingredientes!$B$9</f>
        <v>Pimiento verde</v>
      </c>
      <c r="D9" s="30">
        <f>IF(Plan_Produccion!$B$7="","",Plan_Produccion!$B$7)</f>
        <v>100000</v>
      </c>
      <c r="E9" s="30">
        <f>IF(D9="","",D9*Maestro_Ingredientes!$G$9)</f>
        <v>7299.9999999999991</v>
      </c>
      <c r="F9" s="30">
        <f>IF(D9="","",D9*Maestro_Ingredientes!$H$9)</f>
        <v>8588.2352941176468</v>
      </c>
      <c r="G9" s="32">
        <f t="shared" si="0"/>
        <v>8588.2352941176468</v>
      </c>
      <c r="H9" s="36"/>
      <c r="I9" s="33" t="str">
        <f t="shared" si="1"/>
        <v/>
      </c>
      <c r="J9" s="29"/>
      <c r="K9" s="36"/>
      <c r="L9" s="33" t="str">
        <f t="shared" si="2"/>
        <v/>
      </c>
      <c r="M9" s="32">
        <f t="shared" si="3"/>
        <v>8588.2352941176468</v>
      </c>
      <c r="N9" s="33" t="str">
        <f t="shared" si="4"/>
        <v/>
      </c>
      <c r="O9" s="34" t="str">
        <f t="shared" si="5"/>
        <v/>
      </c>
      <c r="P9" s="32">
        <f t="shared" si="6"/>
        <v>0</v>
      </c>
      <c r="Q9" s="35">
        <f t="shared" si="7"/>
        <v>1</v>
      </c>
    </row>
    <row r="10" spans="1:17">
      <c r="A10" s="54">
        <v>46023</v>
      </c>
      <c r="B10" s="1" t="s">
        <v>8</v>
      </c>
      <c r="C10" s="23" t="str">
        <f>Maestro_Ingredientes!$B$10</f>
        <v>Cebolla</v>
      </c>
      <c r="D10" s="30">
        <f>IF(Plan_Produccion!$B$7="","",Plan_Produccion!$B$7)</f>
        <v>100000</v>
      </c>
      <c r="E10" s="30">
        <f>IF(D10="","",D10*Maestro_Ingredientes!$G$10)</f>
        <v>4400</v>
      </c>
      <c r="F10" s="30">
        <f>IF(D10="","",D10*Maestro_Ingredientes!$H$10)</f>
        <v>4888.8888888888887</v>
      </c>
      <c r="G10" s="32">
        <f t="shared" si="0"/>
        <v>4888.8888888888887</v>
      </c>
      <c r="H10" s="36"/>
      <c r="I10" s="33" t="str">
        <f t="shared" si="1"/>
        <v/>
      </c>
      <c r="J10" s="29"/>
      <c r="K10" s="36"/>
      <c r="L10" s="33" t="str">
        <f t="shared" si="2"/>
        <v/>
      </c>
      <c r="M10" s="32">
        <f t="shared" si="3"/>
        <v>4888.8888888888887</v>
      </c>
      <c r="N10" s="33" t="str">
        <f t="shared" si="4"/>
        <v/>
      </c>
      <c r="O10" s="34" t="str">
        <f t="shared" si="5"/>
        <v/>
      </c>
      <c r="P10" s="32">
        <f t="shared" si="6"/>
        <v>0</v>
      </c>
      <c r="Q10" s="35">
        <f t="shared" si="7"/>
        <v>1</v>
      </c>
    </row>
    <row r="11" spans="1:17">
      <c r="A11" s="54">
        <v>46023</v>
      </c>
      <c r="B11" s="1" t="s">
        <v>9</v>
      </c>
      <c r="C11" s="23" t="str">
        <f>Maestro_Ingredientes!$B$11</f>
        <v>Ajo</v>
      </c>
      <c r="D11" s="30">
        <f>IF(Plan_Produccion!$B$7="","",Plan_Produccion!$B$7)</f>
        <v>100000</v>
      </c>
      <c r="E11" s="30">
        <f>IF(D11="","",D11*Maestro_Ingredientes!$G$11)</f>
        <v>800</v>
      </c>
      <c r="F11" s="30">
        <f>IF(D11="","",D11*Maestro_Ingredientes!$H$11)</f>
        <v>869.56521739130437</v>
      </c>
      <c r="G11" s="32">
        <f t="shared" si="0"/>
        <v>869.56521739130437</v>
      </c>
      <c r="H11" s="36"/>
      <c r="I11" s="33" t="str">
        <f t="shared" si="1"/>
        <v/>
      </c>
      <c r="J11" s="29"/>
      <c r="K11" s="36"/>
      <c r="L11" s="33" t="str">
        <f t="shared" si="2"/>
        <v/>
      </c>
      <c r="M11" s="32">
        <f t="shared" si="3"/>
        <v>869.56521739130437</v>
      </c>
      <c r="N11" s="33" t="str">
        <f t="shared" si="4"/>
        <v/>
      </c>
      <c r="O11" s="34" t="str">
        <f t="shared" si="5"/>
        <v/>
      </c>
      <c r="P11" s="32">
        <f t="shared" si="6"/>
        <v>0</v>
      </c>
      <c r="Q11" s="35">
        <f t="shared" si="7"/>
        <v>1</v>
      </c>
    </row>
    <row r="12" spans="1:17">
      <c r="A12" s="54">
        <v>46023</v>
      </c>
      <c r="B12" s="1" t="s">
        <v>10</v>
      </c>
      <c r="C12" s="23" t="str">
        <f>Maestro_Ingredientes!$B$12</f>
        <v>Aceite de oliva virgen extra</v>
      </c>
      <c r="D12" s="30">
        <f>IF(Plan_Produccion!$B$7="","",Plan_Produccion!$B$7)</f>
        <v>100000</v>
      </c>
      <c r="E12" s="30">
        <f>IF(D12="","",D12*Maestro_Ingredientes!$G$12)</f>
        <v>2600</v>
      </c>
      <c r="F12" s="30">
        <f>IF(D12="","",D12*Maestro_Ingredientes!$H$12)</f>
        <v>2613.065326633166</v>
      </c>
      <c r="G12" s="32">
        <f t="shared" si="0"/>
        <v>2613.065326633166</v>
      </c>
      <c r="H12" s="36"/>
      <c r="I12" s="33" t="str">
        <f t="shared" si="1"/>
        <v/>
      </c>
      <c r="J12" s="29"/>
      <c r="K12" s="36"/>
      <c r="L12" s="33" t="str">
        <f t="shared" si="2"/>
        <v/>
      </c>
      <c r="M12" s="32">
        <f t="shared" si="3"/>
        <v>2613.065326633166</v>
      </c>
      <c r="N12" s="33" t="str">
        <f t="shared" si="4"/>
        <v/>
      </c>
      <c r="O12" s="34" t="str">
        <f t="shared" si="5"/>
        <v/>
      </c>
      <c r="P12" s="32">
        <f t="shared" si="6"/>
        <v>0</v>
      </c>
      <c r="Q12" s="35">
        <f t="shared" si="7"/>
        <v>1</v>
      </c>
    </row>
    <row r="13" spans="1:17">
      <c r="A13" s="54">
        <v>46023</v>
      </c>
      <c r="B13" s="1" t="s">
        <v>11</v>
      </c>
      <c r="C13" s="23" t="str">
        <f>Maestro_Ingredientes!$B$13</f>
        <v>Vinagre de Jerez</v>
      </c>
      <c r="D13" s="30">
        <f>IF(Plan_Produccion!$B$7="","",Plan_Produccion!$B$7)</f>
        <v>100000</v>
      </c>
      <c r="E13" s="30">
        <f>IF(D13="","",D13*Maestro_Ingredientes!$G$13)</f>
        <v>1300</v>
      </c>
      <c r="F13" s="30">
        <f>IF(D13="","",D13*Maestro_Ingredientes!$H$13)</f>
        <v>1306.532663316583</v>
      </c>
      <c r="G13" s="32">
        <f t="shared" si="0"/>
        <v>1306.532663316583</v>
      </c>
      <c r="H13" s="36"/>
      <c r="I13" s="33" t="str">
        <f t="shared" si="1"/>
        <v/>
      </c>
      <c r="J13" s="29"/>
      <c r="K13" s="36"/>
      <c r="L13" s="33" t="str">
        <f t="shared" si="2"/>
        <v/>
      </c>
      <c r="M13" s="32">
        <f t="shared" si="3"/>
        <v>1306.532663316583</v>
      </c>
      <c r="N13" s="33" t="str">
        <f t="shared" si="4"/>
        <v/>
      </c>
      <c r="O13" s="34" t="str">
        <f t="shared" si="5"/>
        <v/>
      </c>
      <c r="P13" s="32">
        <f t="shared" si="6"/>
        <v>0</v>
      </c>
      <c r="Q13" s="35">
        <f t="shared" si="7"/>
        <v>1</v>
      </c>
    </row>
    <row r="14" spans="1:17">
      <c r="A14" s="54">
        <v>46023</v>
      </c>
      <c r="B14" s="1" t="s">
        <v>12</v>
      </c>
      <c r="C14" s="23" t="str">
        <f>Maestro_Ingredientes!$B$14</f>
        <v>Sal</v>
      </c>
      <c r="D14" s="30">
        <f>IF(Plan_Produccion!$B$7="","",Plan_Produccion!$B$7)</f>
        <v>100000</v>
      </c>
      <c r="E14" s="30">
        <f>IF(D14="","",D14*Maestro_Ingredientes!$G$14)</f>
        <v>700</v>
      </c>
      <c r="F14" s="30">
        <f>IF(D14="","",D14*Maestro_Ingredientes!$H$14)</f>
        <v>700</v>
      </c>
      <c r="G14" s="32">
        <f t="shared" si="0"/>
        <v>700</v>
      </c>
      <c r="H14" s="36"/>
      <c r="I14" s="33" t="str">
        <f t="shared" si="1"/>
        <v/>
      </c>
      <c r="J14" s="29"/>
      <c r="K14" s="36"/>
      <c r="L14" s="33" t="str">
        <f t="shared" si="2"/>
        <v/>
      </c>
      <c r="M14" s="32">
        <f t="shared" si="3"/>
        <v>700</v>
      </c>
      <c r="N14" s="33" t="str">
        <f t="shared" si="4"/>
        <v/>
      </c>
      <c r="O14" s="34" t="str">
        <f t="shared" si="5"/>
        <v/>
      </c>
      <c r="P14" s="32">
        <f t="shared" si="6"/>
        <v>0</v>
      </c>
      <c r="Q14" s="35">
        <f t="shared" si="7"/>
        <v>1</v>
      </c>
    </row>
    <row r="15" spans="1:17">
      <c r="A15" s="54">
        <v>46023</v>
      </c>
      <c r="B15" s="1" t="s">
        <v>13</v>
      </c>
      <c r="C15" s="23" t="str">
        <f>Maestro_Ingredientes!$B$15</f>
        <v>Zumo de limón</v>
      </c>
      <c r="D15" s="30">
        <f>IF(Plan_Produccion!$B$7="","",Plan_Produccion!$B$7)</f>
        <v>100000</v>
      </c>
      <c r="E15" s="30">
        <f>IF(D15="","",D15*Maestro_Ingredientes!$G$15)</f>
        <v>400</v>
      </c>
      <c r="F15" s="30">
        <f>IF(D15="","",D15*Maestro_Ingredientes!$H$15)</f>
        <v>408.16326530612247</v>
      </c>
      <c r="G15" s="32">
        <f t="shared" si="0"/>
        <v>408.16326530612247</v>
      </c>
      <c r="H15" s="36"/>
      <c r="I15" s="33" t="str">
        <f t="shared" si="1"/>
        <v/>
      </c>
      <c r="J15" s="29"/>
      <c r="K15" s="36"/>
      <c r="L15" s="33" t="str">
        <f t="shared" si="2"/>
        <v/>
      </c>
      <c r="M15" s="32">
        <f t="shared" si="3"/>
        <v>408.16326530612247</v>
      </c>
      <c r="N15" s="33" t="str">
        <f t="shared" si="4"/>
        <v/>
      </c>
      <c r="O15" s="34" t="str">
        <f t="shared" si="5"/>
        <v/>
      </c>
      <c r="P15" s="32">
        <f t="shared" si="6"/>
        <v>0</v>
      </c>
      <c r="Q15" s="35">
        <f t="shared" si="7"/>
        <v>1</v>
      </c>
    </row>
    <row r="16" spans="1:17">
      <c r="A16" s="55">
        <v>46054</v>
      </c>
      <c r="B16" s="1" t="s">
        <v>5</v>
      </c>
      <c r="C16" s="23" t="str">
        <f>Maestro_Ingredientes!$B$7</f>
        <v>Tomate pera</v>
      </c>
      <c r="D16" s="30" t="str">
        <f>IF(Plan_Produccion!$B$8="","",Plan_Produccion!$B$8)</f>
        <v/>
      </c>
      <c r="E16" s="30" t="str">
        <f>IF(D16="","",D16*Maestro_Ingredientes!$G$7)</f>
        <v/>
      </c>
      <c r="F16" s="30" t="str">
        <f>IF(D16="","",D16*Maestro_Ingredientes!$H$7)</f>
        <v/>
      </c>
      <c r="G16" s="29"/>
      <c r="H16" s="36"/>
      <c r="I16" s="33" t="str">
        <f t="shared" si="1"/>
        <v/>
      </c>
      <c r="J16" s="29"/>
      <c r="K16" s="36"/>
      <c r="L16" s="33" t="str">
        <f t="shared" si="2"/>
        <v/>
      </c>
      <c r="M16" s="32" t="str">
        <f t="shared" si="3"/>
        <v/>
      </c>
      <c r="N16" s="33" t="str">
        <f t="shared" si="4"/>
        <v/>
      </c>
      <c r="O16" s="34" t="str">
        <f t="shared" si="5"/>
        <v/>
      </c>
      <c r="P16" s="32" t="str">
        <f t="shared" si="6"/>
        <v/>
      </c>
      <c r="Q16" s="35" t="str">
        <f t="shared" si="7"/>
        <v/>
      </c>
    </row>
    <row r="17" spans="1:17">
      <c r="A17" s="55">
        <v>46054</v>
      </c>
      <c r="B17" s="1" t="s">
        <v>6</v>
      </c>
      <c r="C17" s="23" t="str">
        <f>Maestro_Ingredientes!$B$8</f>
        <v>Pepino</v>
      </c>
      <c r="D17" s="30" t="str">
        <f>IF(Plan_Produccion!$B$8="","",Plan_Produccion!$B$8)</f>
        <v/>
      </c>
      <c r="E17" s="30" t="str">
        <f>IF(D17="","",D17*Maestro_Ingredientes!$G$8)</f>
        <v/>
      </c>
      <c r="F17" s="30" t="str">
        <f>IF(D17="","",D17*Maestro_Ingredientes!$H$8)</f>
        <v/>
      </c>
      <c r="G17" s="29"/>
      <c r="H17" s="36"/>
      <c r="I17" s="33" t="str">
        <f t="shared" si="1"/>
        <v/>
      </c>
      <c r="J17" s="29"/>
      <c r="K17" s="36"/>
      <c r="L17" s="33" t="str">
        <f t="shared" si="2"/>
        <v/>
      </c>
      <c r="M17" s="32" t="str">
        <f t="shared" si="3"/>
        <v/>
      </c>
      <c r="N17" s="33" t="str">
        <f t="shared" si="4"/>
        <v/>
      </c>
      <c r="O17" s="34" t="str">
        <f t="shared" si="5"/>
        <v/>
      </c>
      <c r="P17" s="32" t="str">
        <f t="shared" si="6"/>
        <v/>
      </c>
      <c r="Q17" s="35" t="str">
        <f t="shared" si="7"/>
        <v/>
      </c>
    </row>
    <row r="18" spans="1:17">
      <c r="A18" s="55">
        <v>46054</v>
      </c>
      <c r="B18" s="1" t="s">
        <v>7</v>
      </c>
      <c r="C18" s="23" t="str">
        <f>Maestro_Ingredientes!$B$9</f>
        <v>Pimiento verde</v>
      </c>
      <c r="D18" s="30" t="str">
        <f>IF(Plan_Produccion!$B$8="","",Plan_Produccion!$B$8)</f>
        <v/>
      </c>
      <c r="E18" s="30" t="str">
        <f>IF(D18="","",D18*Maestro_Ingredientes!$G$9)</f>
        <v/>
      </c>
      <c r="F18" s="30" t="str">
        <f>IF(D18="","",D18*Maestro_Ingredientes!$H$9)</f>
        <v/>
      </c>
      <c r="G18" s="29"/>
      <c r="H18" s="36"/>
      <c r="I18" s="33" t="str">
        <f t="shared" si="1"/>
        <v/>
      </c>
      <c r="J18" s="29"/>
      <c r="K18" s="36"/>
      <c r="L18" s="33" t="str">
        <f t="shared" si="2"/>
        <v/>
      </c>
      <c r="M18" s="32" t="str">
        <f t="shared" si="3"/>
        <v/>
      </c>
      <c r="N18" s="33" t="str">
        <f t="shared" si="4"/>
        <v/>
      </c>
      <c r="O18" s="34" t="str">
        <f t="shared" si="5"/>
        <v/>
      </c>
      <c r="P18" s="32" t="str">
        <f t="shared" si="6"/>
        <v/>
      </c>
      <c r="Q18" s="35" t="str">
        <f t="shared" si="7"/>
        <v/>
      </c>
    </row>
    <row r="19" spans="1:17">
      <c r="A19" s="55">
        <v>46054</v>
      </c>
      <c r="B19" s="1" t="s">
        <v>8</v>
      </c>
      <c r="C19" s="23" t="str">
        <f>Maestro_Ingredientes!$B$10</f>
        <v>Cebolla</v>
      </c>
      <c r="D19" s="30" t="str">
        <f>IF(Plan_Produccion!$B$8="","",Plan_Produccion!$B$8)</f>
        <v/>
      </c>
      <c r="E19" s="30" t="str">
        <f>IF(D19="","",D19*Maestro_Ingredientes!$G$10)</f>
        <v/>
      </c>
      <c r="F19" s="30" t="str">
        <f>IF(D19="","",D19*Maestro_Ingredientes!$H$10)</f>
        <v/>
      </c>
      <c r="G19" s="29"/>
      <c r="H19" s="36"/>
      <c r="I19" s="33" t="str">
        <f t="shared" si="1"/>
        <v/>
      </c>
      <c r="J19" s="29"/>
      <c r="K19" s="36"/>
      <c r="L19" s="33" t="str">
        <f t="shared" si="2"/>
        <v/>
      </c>
      <c r="M19" s="32" t="str">
        <f t="shared" si="3"/>
        <v/>
      </c>
      <c r="N19" s="33" t="str">
        <f t="shared" si="4"/>
        <v/>
      </c>
      <c r="O19" s="34" t="str">
        <f t="shared" si="5"/>
        <v/>
      </c>
      <c r="P19" s="32" t="str">
        <f t="shared" si="6"/>
        <v/>
      </c>
      <c r="Q19" s="35" t="str">
        <f t="shared" si="7"/>
        <v/>
      </c>
    </row>
    <row r="20" spans="1:17">
      <c r="A20" s="55">
        <v>46054</v>
      </c>
      <c r="B20" s="1" t="s">
        <v>9</v>
      </c>
      <c r="C20" s="23" t="str">
        <f>Maestro_Ingredientes!$B$11</f>
        <v>Ajo</v>
      </c>
      <c r="D20" s="30" t="str">
        <f>IF(Plan_Produccion!$B$8="","",Plan_Produccion!$B$8)</f>
        <v/>
      </c>
      <c r="E20" s="30" t="str">
        <f>IF(D20="","",D20*Maestro_Ingredientes!$G$11)</f>
        <v/>
      </c>
      <c r="F20" s="30" t="str">
        <f>IF(D20="","",D20*Maestro_Ingredientes!$H$11)</f>
        <v/>
      </c>
      <c r="G20" s="29"/>
      <c r="H20" s="36"/>
      <c r="I20" s="33" t="str">
        <f t="shared" si="1"/>
        <v/>
      </c>
      <c r="J20" s="29"/>
      <c r="K20" s="36"/>
      <c r="L20" s="33" t="str">
        <f t="shared" si="2"/>
        <v/>
      </c>
      <c r="M20" s="32" t="str">
        <f t="shared" si="3"/>
        <v/>
      </c>
      <c r="N20" s="33" t="str">
        <f t="shared" si="4"/>
        <v/>
      </c>
      <c r="O20" s="34" t="str">
        <f t="shared" si="5"/>
        <v/>
      </c>
      <c r="P20" s="32" t="str">
        <f t="shared" si="6"/>
        <v/>
      </c>
      <c r="Q20" s="35" t="str">
        <f t="shared" si="7"/>
        <v/>
      </c>
    </row>
    <row r="21" spans="1:17">
      <c r="A21" s="55">
        <v>46054</v>
      </c>
      <c r="B21" s="1" t="s">
        <v>10</v>
      </c>
      <c r="C21" s="23" t="str">
        <f>Maestro_Ingredientes!$B$12</f>
        <v>Aceite de oliva virgen extra</v>
      </c>
      <c r="D21" s="30" t="str">
        <f>IF(Plan_Produccion!$B$8="","",Plan_Produccion!$B$8)</f>
        <v/>
      </c>
      <c r="E21" s="30" t="str">
        <f>IF(D21="","",D21*Maestro_Ingredientes!$G$12)</f>
        <v/>
      </c>
      <c r="F21" s="30" t="str">
        <f>IF(D21="","",D21*Maestro_Ingredientes!$H$12)</f>
        <v/>
      </c>
      <c r="G21" s="29"/>
      <c r="H21" s="36"/>
      <c r="I21" s="33" t="str">
        <f t="shared" si="1"/>
        <v/>
      </c>
      <c r="J21" s="29"/>
      <c r="K21" s="36"/>
      <c r="L21" s="33" t="str">
        <f t="shared" si="2"/>
        <v/>
      </c>
      <c r="M21" s="32" t="str">
        <f t="shared" si="3"/>
        <v/>
      </c>
      <c r="N21" s="33" t="str">
        <f t="shared" si="4"/>
        <v/>
      </c>
      <c r="O21" s="34" t="str">
        <f t="shared" si="5"/>
        <v/>
      </c>
      <c r="P21" s="32" t="str">
        <f t="shared" si="6"/>
        <v/>
      </c>
      <c r="Q21" s="35" t="str">
        <f t="shared" si="7"/>
        <v/>
      </c>
    </row>
    <row r="22" spans="1:17">
      <c r="A22" s="55">
        <v>46054</v>
      </c>
      <c r="B22" s="1" t="s">
        <v>11</v>
      </c>
      <c r="C22" s="23" t="str">
        <f>Maestro_Ingredientes!$B$13</f>
        <v>Vinagre de Jerez</v>
      </c>
      <c r="D22" s="30" t="str">
        <f>IF(Plan_Produccion!$B$8="","",Plan_Produccion!$B$8)</f>
        <v/>
      </c>
      <c r="E22" s="30" t="str">
        <f>IF(D22="","",D22*Maestro_Ingredientes!$G$13)</f>
        <v/>
      </c>
      <c r="F22" s="30" t="str">
        <f>IF(D22="","",D22*Maestro_Ingredientes!$H$13)</f>
        <v/>
      </c>
      <c r="G22" s="29"/>
      <c r="H22" s="36"/>
      <c r="I22" s="33" t="str">
        <f t="shared" si="1"/>
        <v/>
      </c>
      <c r="J22" s="29"/>
      <c r="K22" s="36"/>
      <c r="L22" s="33" t="str">
        <f t="shared" si="2"/>
        <v/>
      </c>
      <c r="M22" s="32" t="str">
        <f t="shared" si="3"/>
        <v/>
      </c>
      <c r="N22" s="33" t="str">
        <f t="shared" si="4"/>
        <v/>
      </c>
      <c r="O22" s="34" t="str">
        <f t="shared" si="5"/>
        <v/>
      </c>
      <c r="P22" s="32" t="str">
        <f t="shared" si="6"/>
        <v/>
      </c>
      <c r="Q22" s="35" t="str">
        <f t="shared" si="7"/>
        <v/>
      </c>
    </row>
    <row r="23" spans="1:17">
      <c r="A23" s="55">
        <v>46054</v>
      </c>
      <c r="B23" s="1" t="s">
        <v>12</v>
      </c>
      <c r="C23" s="23" t="str">
        <f>Maestro_Ingredientes!$B$14</f>
        <v>Sal</v>
      </c>
      <c r="D23" s="30" t="str">
        <f>IF(Plan_Produccion!$B$8="","",Plan_Produccion!$B$8)</f>
        <v/>
      </c>
      <c r="E23" s="30" t="str">
        <f>IF(D23="","",D23*Maestro_Ingredientes!$G$14)</f>
        <v/>
      </c>
      <c r="F23" s="30" t="str">
        <f>IF(D23="","",D23*Maestro_Ingredientes!$H$14)</f>
        <v/>
      </c>
      <c r="G23" s="29"/>
      <c r="H23" s="36"/>
      <c r="I23" s="33" t="str">
        <f t="shared" si="1"/>
        <v/>
      </c>
      <c r="J23" s="29"/>
      <c r="K23" s="36"/>
      <c r="L23" s="33" t="str">
        <f t="shared" si="2"/>
        <v/>
      </c>
      <c r="M23" s="32" t="str">
        <f t="shared" si="3"/>
        <v/>
      </c>
      <c r="N23" s="33" t="str">
        <f t="shared" si="4"/>
        <v/>
      </c>
      <c r="O23" s="34" t="str">
        <f t="shared" si="5"/>
        <v/>
      </c>
      <c r="P23" s="32" t="str">
        <f t="shared" si="6"/>
        <v/>
      </c>
      <c r="Q23" s="35" t="str">
        <f t="shared" si="7"/>
        <v/>
      </c>
    </row>
    <row r="24" spans="1:17">
      <c r="A24" s="55">
        <v>46054</v>
      </c>
      <c r="B24" s="1" t="s">
        <v>13</v>
      </c>
      <c r="C24" s="23" t="str">
        <f>Maestro_Ingredientes!$B$15</f>
        <v>Zumo de limón</v>
      </c>
      <c r="D24" s="30" t="str">
        <f>IF(Plan_Produccion!$B$8="","",Plan_Produccion!$B$8)</f>
        <v/>
      </c>
      <c r="E24" s="30" t="str">
        <f>IF(D24="","",D24*Maestro_Ingredientes!$G$15)</f>
        <v/>
      </c>
      <c r="F24" s="30" t="str">
        <f>IF(D24="","",D24*Maestro_Ingredientes!$H$15)</f>
        <v/>
      </c>
      <c r="G24" s="29"/>
      <c r="H24" s="36"/>
      <c r="I24" s="33" t="str">
        <f t="shared" si="1"/>
        <v/>
      </c>
      <c r="J24" s="29"/>
      <c r="K24" s="36"/>
      <c r="L24" s="33" t="str">
        <f t="shared" si="2"/>
        <v/>
      </c>
      <c r="M24" s="32" t="str">
        <f t="shared" si="3"/>
        <v/>
      </c>
      <c r="N24" s="33" t="str">
        <f t="shared" si="4"/>
        <v/>
      </c>
      <c r="O24" s="34" t="str">
        <f t="shared" si="5"/>
        <v/>
      </c>
      <c r="P24" s="32" t="str">
        <f t="shared" si="6"/>
        <v/>
      </c>
      <c r="Q24" s="35" t="str">
        <f t="shared" si="7"/>
        <v/>
      </c>
    </row>
    <row r="25" spans="1:17">
      <c r="A25" s="56">
        <v>46082</v>
      </c>
      <c r="B25" s="1" t="s">
        <v>5</v>
      </c>
      <c r="C25" s="23" t="str">
        <f>Maestro_Ingredientes!$B$7</f>
        <v>Tomate pera</v>
      </c>
      <c r="D25" s="30" t="str">
        <f>IF(Plan_Produccion!$B$9="","",Plan_Produccion!$B$9)</f>
        <v/>
      </c>
      <c r="E25" s="30" t="str">
        <f>IF(D25="","",D25*Maestro_Ingredientes!$G$7)</f>
        <v/>
      </c>
      <c r="F25" s="30" t="str">
        <f>IF(D25="","",D25*Maestro_Ingredientes!$H$7)</f>
        <v/>
      </c>
      <c r="G25" s="29"/>
      <c r="H25" s="36"/>
      <c r="I25" s="33" t="str">
        <f t="shared" si="1"/>
        <v/>
      </c>
      <c r="J25" s="29"/>
      <c r="K25" s="36"/>
      <c r="L25" s="33" t="str">
        <f t="shared" si="2"/>
        <v/>
      </c>
      <c r="M25" s="32" t="str">
        <f t="shared" si="3"/>
        <v/>
      </c>
      <c r="N25" s="33" t="str">
        <f t="shared" si="4"/>
        <v/>
      </c>
      <c r="O25" s="34" t="str">
        <f t="shared" si="5"/>
        <v/>
      </c>
      <c r="P25" s="32" t="str">
        <f t="shared" si="6"/>
        <v/>
      </c>
      <c r="Q25" s="35" t="str">
        <f t="shared" si="7"/>
        <v/>
      </c>
    </row>
    <row r="26" spans="1:17">
      <c r="A26" s="56">
        <v>46082</v>
      </c>
      <c r="B26" s="1" t="s">
        <v>6</v>
      </c>
      <c r="C26" s="23" t="str">
        <f>Maestro_Ingredientes!$B$8</f>
        <v>Pepino</v>
      </c>
      <c r="D26" s="30" t="str">
        <f>IF(Plan_Produccion!$B$9="","",Plan_Produccion!$B$9)</f>
        <v/>
      </c>
      <c r="E26" s="30" t="str">
        <f>IF(D26="","",D26*Maestro_Ingredientes!$G$8)</f>
        <v/>
      </c>
      <c r="F26" s="30" t="str">
        <f>IF(D26="","",D26*Maestro_Ingredientes!$H$8)</f>
        <v/>
      </c>
      <c r="G26" s="29"/>
      <c r="H26" s="36"/>
      <c r="I26" s="33" t="str">
        <f t="shared" si="1"/>
        <v/>
      </c>
      <c r="J26" s="29"/>
      <c r="K26" s="36"/>
      <c r="L26" s="33" t="str">
        <f t="shared" si="2"/>
        <v/>
      </c>
      <c r="M26" s="32" t="str">
        <f t="shared" si="3"/>
        <v/>
      </c>
      <c r="N26" s="33" t="str">
        <f t="shared" si="4"/>
        <v/>
      </c>
      <c r="O26" s="34" t="str">
        <f t="shared" si="5"/>
        <v/>
      </c>
      <c r="P26" s="32" t="str">
        <f t="shared" si="6"/>
        <v/>
      </c>
      <c r="Q26" s="35" t="str">
        <f t="shared" si="7"/>
        <v/>
      </c>
    </row>
    <row r="27" spans="1:17">
      <c r="A27" s="56">
        <v>46082</v>
      </c>
      <c r="B27" s="1" t="s">
        <v>7</v>
      </c>
      <c r="C27" s="23" t="str">
        <f>Maestro_Ingredientes!$B$9</f>
        <v>Pimiento verde</v>
      </c>
      <c r="D27" s="30" t="str">
        <f>IF(Plan_Produccion!$B$9="","",Plan_Produccion!$B$9)</f>
        <v/>
      </c>
      <c r="E27" s="30" t="str">
        <f>IF(D27="","",D27*Maestro_Ingredientes!$G$9)</f>
        <v/>
      </c>
      <c r="F27" s="30" t="str">
        <f>IF(D27="","",D27*Maestro_Ingredientes!$H$9)</f>
        <v/>
      </c>
      <c r="G27" s="29"/>
      <c r="H27" s="36"/>
      <c r="I27" s="33" t="str">
        <f t="shared" si="1"/>
        <v/>
      </c>
      <c r="J27" s="29"/>
      <c r="K27" s="36"/>
      <c r="L27" s="33" t="str">
        <f t="shared" si="2"/>
        <v/>
      </c>
      <c r="M27" s="32" t="str">
        <f t="shared" si="3"/>
        <v/>
      </c>
      <c r="N27" s="33" t="str">
        <f t="shared" si="4"/>
        <v/>
      </c>
      <c r="O27" s="34" t="str">
        <f t="shared" si="5"/>
        <v/>
      </c>
      <c r="P27" s="32" t="str">
        <f t="shared" si="6"/>
        <v/>
      </c>
      <c r="Q27" s="35" t="str">
        <f t="shared" si="7"/>
        <v/>
      </c>
    </row>
    <row r="28" spans="1:17">
      <c r="A28" s="56">
        <v>46082</v>
      </c>
      <c r="B28" s="1" t="s">
        <v>8</v>
      </c>
      <c r="C28" s="23" t="str">
        <f>Maestro_Ingredientes!$B$10</f>
        <v>Cebolla</v>
      </c>
      <c r="D28" s="30" t="str">
        <f>IF(Plan_Produccion!$B$9="","",Plan_Produccion!$B$9)</f>
        <v/>
      </c>
      <c r="E28" s="30" t="str">
        <f>IF(D28="","",D28*Maestro_Ingredientes!$G$10)</f>
        <v/>
      </c>
      <c r="F28" s="30" t="str">
        <f>IF(D28="","",D28*Maestro_Ingredientes!$H$10)</f>
        <v/>
      </c>
      <c r="G28" s="29"/>
      <c r="H28" s="36"/>
      <c r="I28" s="33" t="str">
        <f t="shared" si="1"/>
        <v/>
      </c>
      <c r="J28" s="29"/>
      <c r="K28" s="36"/>
      <c r="L28" s="33" t="str">
        <f t="shared" si="2"/>
        <v/>
      </c>
      <c r="M28" s="32" t="str">
        <f t="shared" si="3"/>
        <v/>
      </c>
      <c r="N28" s="33" t="str">
        <f t="shared" si="4"/>
        <v/>
      </c>
      <c r="O28" s="34" t="str">
        <f t="shared" si="5"/>
        <v/>
      </c>
      <c r="P28" s="32" t="str">
        <f t="shared" si="6"/>
        <v/>
      </c>
      <c r="Q28" s="35" t="str">
        <f t="shared" si="7"/>
        <v/>
      </c>
    </row>
    <row r="29" spans="1:17">
      <c r="A29" s="56">
        <v>46082</v>
      </c>
      <c r="B29" s="1" t="s">
        <v>9</v>
      </c>
      <c r="C29" s="23" t="str">
        <f>Maestro_Ingredientes!$B$11</f>
        <v>Ajo</v>
      </c>
      <c r="D29" s="30" t="str">
        <f>IF(Plan_Produccion!$B$9="","",Plan_Produccion!$B$9)</f>
        <v/>
      </c>
      <c r="E29" s="30" t="str">
        <f>IF(D29="","",D29*Maestro_Ingredientes!$G$11)</f>
        <v/>
      </c>
      <c r="F29" s="30" t="str">
        <f>IF(D29="","",D29*Maestro_Ingredientes!$H$11)</f>
        <v/>
      </c>
      <c r="G29" s="29"/>
      <c r="H29" s="36"/>
      <c r="I29" s="33" t="str">
        <f t="shared" si="1"/>
        <v/>
      </c>
      <c r="J29" s="29"/>
      <c r="K29" s="36"/>
      <c r="L29" s="33" t="str">
        <f t="shared" si="2"/>
        <v/>
      </c>
      <c r="M29" s="32" t="str">
        <f t="shared" si="3"/>
        <v/>
      </c>
      <c r="N29" s="33" t="str">
        <f t="shared" si="4"/>
        <v/>
      </c>
      <c r="O29" s="34" t="str">
        <f t="shared" si="5"/>
        <v/>
      </c>
      <c r="P29" s="32" t="str">
        <f t="shared" si="6"/>
        <v/>
      </c>
      <c r="Q29" s="35" t="str">
        <f t="shared" si="7"/>
        <v/>
      </c>
    </row>
    <row r="30" spans="1:17">
      <c r="A30" s="56">
        <v>46082</v>
      </c>
      <c r="B30" s="1" t="s">
        <v>10</v>
      </c>
      <c r="C30" s="23" t="str">
        <f>Maestro_Ingredientes!$B$12</f>
        <v>Aceite de oliva virgen extra</v>
      </c>
      <c r="D30" s="30" t="str">
        <f>IF(Plan_Produccion!$B$9="","",Plan_Produccion!$B$9)</f>
        <v/>
      </c>
      <c r="E30" s="30" t="str">
        <f>IF(D30="","",D30*Maestro_Ingredientes!$G$12)</f>
        <v/>
      </c>
      <c r="F30" s="30" t="str">
        <f>IF(D30="","",D30*Maestro_Ingredientes!$H$12)</f>
        <v/>
      </c>
      <c r="G30" s="29"/>
      <c r="H30" s="36"/>
      <c r="I30" s="33" t="str">
        <f t="shared" si="1"/>
        <v/>
      </c>
      <c r="J30" s="29"/>
      <c r="K30" s="36"/>
      <c r="L30" s="33" t="str">
        <f t="shared" si="2"/>
        <v/>
      </c>
      <c r="M30" s="32" t="str">
        <f t="shared" si="3"/>
        <v/>
      </c>
      <c r="N30" s="33" t="str">
        <f t="shared" si="4"/>
        <v/>
      </c>
      <c r="O30" s="34" t="str">
        <f t="shared" si="5"/>
        <v/>
      </c>
      <c r="P30" s="32" t="str">
        <f t="shared" si="6"/>
        <v/>
      </c>
      <c r="Q30" s="35" t="str">
        <f t="shared" si="7"/>
        <v/>
      </c>
    </row>
    <row r="31" spans="1:17">
      <c r="A31" s="56">
        <v>46082</v>
      </c>
      <c r="B31" s="1" t="s">
        <v>11</v>
      </c>
      <c r="C31" s="23" t="str">
        <f>Maestro_Ingredientes!$B$13</f>
        <v>Vinagre de Jerez</v>
      </c>
      <c r="D31" s="30" t="str">
        <f>IF(Plan_Produccion!$B$9="","",Plan_Produccion!$B$9)</f>
        <v/>
      </c>
      <c r="E31" s="30" t="str">
        <f>IF(D31="","",D31*Maestro_Ingredientes!$G$13)</f>
        <v/>
      </c>
      <c r="F31" s="30" t="str">
        <f>IF(D31="","",D31*Maestro_Ingredientes!$H$13)</f>
        <v/>
      </c>
      <c r="G31" s="29"/>
      <c r="H31" s="36"/>
      <c r="I31" s="33" t="str">
        <f t="shared" si="1"/>
        <v/>
      </c>
      <c r="J31" s="29"/>
      <c r="K31" s="36"/>
      <c r="L31" s="33" t="str">
        <f t="shared" si="2"/>
        <v/>
      </c>
      <c r="M31" s="32" t="str">
        <f t="shared" si="3"/>
        <v/>
      </c>
      <c r="N31" s="33" t="str">
        <f t="shared" si="4"/>
        <v/>
      </c>
      <c r="O31" s="34" t="str">
        <f t="shared" si="5"/>
        <v/>
      </c>
      <c r="P31" s="32" t="str">
        <f t="shared" si="6"/>
        <v/>
      </c>
      <c r="Q31" s="35" t="str">
        <f t="shared" si="7"/>
        <v/>
      </c>
    </row>
    <row r="32" spans="1:17">
      <c r="A32" s="56">
        <v>46082</v>
      </c>
      <c r="B32" s="1" t="s">
        <v>12</v>
      </c>
      <c r="C32" s="23" t="str">
        <f>Maestro_Ingredientes!$B$14</f>
        <v>Sal</v>
      </c>
      <c r="D32" s="30" t="str">
        <f>IF(Plan_Produccion!$B$9="","",Plan_Produccion!$B$9)</f>
        <v/>
      </c>
      <c r="E32" s="30" t="str">
        <f>IF(D32="","",D32*Maestro_Ingredientes!$G$14)</f>
        <v/>
      </c>
      <c r="F32" s="30" t="str">
        <f>IF(D32="","",D32*Maestro_Ingredientes!$H$14)</f>
        <v/>
      </c>
      <c r="G32" s="29"/>
      <c r="H32" s="36"/>
      <c r="I32" s="33" t="str">
        <f t="shared" si="1"/>
        <v/>
      </c>
      <c r="J32" s="29"/>
      <c r="K32" s="36"/>
      <c r="L32" s="33" t="str">
        <f t="shared" si="2"/>
        <v/>
      </c>
      <c r="M32" s="32" t="str">
        <f t="shared" si="3"/>
        <v/>
      </c>
      <c r="N32" s="33" t="str">
        <f t="shared" si="4"/>
        <v/>
      </c>
      <c r="O32" s="34" t="str">
        <f t="shared" si="5"/>
        <v/>
      </c>
      <c r="P32" s="32" t="str">
        <f t="shared" si="6"/>
        <v/>
      </c>
      <c r="Q32" s="35" t="str">
        <f t="shared" si="7"/>
        <v/>
      </c>
    </row>
    <row r="33" spans="1:17">
      <c r="A33" s="56">
        <v>46082</v>
      </c>
      <c r="B33" s="1" t="s">
        <v>13</v>
      </c>
      <c r="C33" s="23" t="str">
        <f>Maestro_Ingredientes!$B$15</f>
        <v>Zumo de limón</v>
      </c>
      <c r="D33" s="30" t="str">
        <f>IF(Plan_Produccion!$B$9="","",Plan_Produccion!$B$9)</f>
        <v/>
      </c>
      <c r="E33" s="30" t="str">
        <f>IF(D33="","",D33*Maestro_Ingredientes!$G$15)</f>
        <v/>
      </c>
      <c r="F33" s="30" t="str">
        <f>IF(D33="","",D33*Maestro_Ingredientes!$H$15)</f>
        <v/>
      </c>
      <c r="G33" s="29"/>
      <c r="H33" s="36"/>
      <c r="I33" s="33" t="str">
        <f t="shared" si="1"/>
        <v/>
      </c>
      <c r="J33" s="29"/>
      <c r="K33" s="36"/>
      <c r="L33" s="33" t="str">
        <f t="shared" si="2"/>
        <v/>
      </c>
      <c r="M33" s="32" t="str">
        <f t="shared" si="3"/>
        <v/>
      </c>
      <c r="N33" s="33" t="str">
        <f t="shared" si="4"/>
        <v/>
      </c>
      <c r="O33" s="34" t="str">
        <f t="shared" si="5"/>
        <v/>
      </c>
      <c r="P33" s="32" t="str">
        <f t="shared" si="6"/>
        <v/>
      </c>
      <c r="Q33" s="35" t="str">
        <f t="shared" si="7"/>
        <v/>
      </c>
    </row>
    <row r="34" spans="1:17">
      <c r="A34" s="57">
        <v>46113</v>
      </c>
      <c r="B34" s="1" t="s">
        <v>5</v>
      </c>
      <c r="C34" s="23" t="str">
        <f>Maestro_Ingredientes!$B$7</f>
        <v>Tomate pera</v>
      </c>
      <c r="D34" s="30" t="str">
        <f>IF(Plan_Produccion!$B$10="","",Plan_Produccion!$B$10)</f>
        <v/>
      </c>
      <c r="E34" s="30" t="str">
        <f>IF(D34="","",D34*Maestro_Ingredientes!$G$7)</f>
        <v/>
      </c>
      <c r="F34" s="30" t="str">
        <f>IF(D34="","",D34*Maestro_Ingredientes!$H$7)</f>
        <v/>
      </c>
      <c r="G34" s="29"/>
      <c r="H34" s="36"/>
      <c r="I34" s="33" t="str">
        <f t="shared" si="1"/>
        <v/>
      </c>
      <c r="J34" s="29"/>
      <c r="K34" s="36"/>
      <c r="L34" s="33" t="str">
        <f t="shared" si="2"/>
        <v/>
      </c>
      <c r="M34" s="32" t="str">
        <f t="shared" si="3"/>
        <v/>
      </c>
      <c r="N34" s="33" t="str">
        <f t="shared" si="4"/>
        <v/>
      </c>
      <c r="O34" s="34" t="str">
        <f t="shared" si="5"/>
        <v/>
      </c>
      <c r="P34" s="32" t="str">
        <f t="shared" si="6"/>
        <v/>
      </c>
      <c r="Q34" s="35" t="str">
        <f t="shared" si="7"/>
        <v/>
      </c>
    </row>
    <row r="35" spans="1:17">
      <c r="A35" s="57">
        <v>46113</v>
      </c>
      <c r="B35" s="1" t="s">
        <v>6</v>
      </c>
      <c r="C35" s="23" t="str">
        <f>Maestro_Ingredientes!$B$8</f>
        <v>Pepino</v>
      </c>
      <c r="D35" s="30" t="str">
        <f>IF(Plan_Produccion!$B$10="","",Plan_Produccion!$B$10)</f>
        <v/>
      </c>
      <c r="E35" s="30" t="str">
        <f>IF(D35="","",D35*Maestro_Ingredientes!$G$8)</f>
        <v/>
      </c>
      <c r="F35" s="30" t="str">
        <f>IF(D35="","",D35*Maestro_Ingredientes!$H$8)</f>
        <v/>
      </c>
      <c r="G35" s="29"/>
      <c r="H35" s="36"/>
      <c r="I35" s="33" t="str">
        <f t="shared" si="1"/>
        <v/>
      </c>
      <c r="J35" s="29"/>
      <c r="K35" s="36"/>
      <c r="L35" s="33" t="str">
        <f t="shared" si="2"/>
        <v/>
      </c>
      <c r="M35" s="32" t="str">
        <f t="shared" si="3"/>
        <v/>
      </c>
      <c r="N35" s="33" t="str">
        <f t="shared" si="4"/>
        <v/>
      </c>
      <c r="O35" s="34" t="str">
        <f t="shared" si="5"/>
        <v/>
      </c>
      <c r="P35" s="32" t="str">
        <f t="shared" si="6"/>
        <v/>
      </c>
      <c r="Q35" s="35" t="str">
        <f t="shared" si="7"/>
        <v/>
      </c>
    </row>
    <row r="36" spans="1:17">
      <c r="A36" s="57">
        <v>46113</v>
      </c>
      <c r="B36" s="1" t="s">
        <v>7</v>
      </c>
      <c r="C36" s="23" t="str">
        <f>Maestro_Ingredientes!$B$9</f>
        <v>Pimiento verde</v>
      </c>
      <c r="D36" s="30" t="str">
        <f>IF(Plan_Produccion!$B$10="","",Plan_Produccion!$B$10)</f>
        <v/>
      </c>
      <c r="E36" s="30" t="str">
        <f>IF(D36="","",D36*Maestro_Ingredientes!$G$9)</f>
        <v/>
      </c>
      <c r="F36" s="30" t="str">
        <f>IF(D36="","",D36*Maestro_Ingredientes!$H$9)</f>
        <v/>
      </c>
      <c r="G36" s="29"/>
      <c r="H36" s="36"/>
      <c r="I36" s="33" t="str">
        <f t="shared" si="1"/>
        <v/>
      </c>
      <c r="J36" s="29"/>
      <c r="K36" s="36"/>
      <c r="L36" s="33" t="str">
        <f t="shared" si="2"/>
        <v/>
      </c>
      <c r="M36" s="32" t="str">
        <f t="shared" si="3"/>
        <v/>
      </c>
      <c r="N36" s="33" t="str">
        <f t="shared" si="4"/>
        <v/>
      </c>
      <c r="O36" s="34" t="str">
        <f t="shared" si="5"/>
        <v/>
      </c>
      <c r="P36" s="32" t="str">
        <f t="shared" si="6"/>
        <v/>
      </c>
      <c r="Q36" s="35" t="str">
        <f t="shared" si="7"/>
        <v/>
      </c>
    </row>
    <row r="37" spans="1:17">
      <c r="A37" s="57">
        <v>46113</v>
      </c>
      <c r="B37" s="1" t="s">
        <v>8</v>
      </c>
      <c r="C37" s="23" t="str">
        <f>Maestro_Ingredientes!$B$10</f>
        <v>Cebolla</v>
      </c>
      <c r="D37" s="30" t="str">
        <f>IF(Plan_Produccion!$B$10="","",Plan_Produccion!$B$10)</f>
        <v/>
      </c>
      <c r="E37" s="30" t="str">
        <f>IF(D37="","",D37*Maestro_Ingredientes!$G$10)</f>
        <v/>
      </c>
      <c r="F37" s="30" t="str">
        <f>IF(D37="","",D37*Maestro_Ingredientes!$H$10)</f>
        <v/>
      </c>
      <c r="G37" s="29"/>
      <c r="H37" s="36"/>
      <c r="I37" s="33" t="str">
        <f t="shared" si="1"/>
        <v/>
      </c>
      <c r="J37" s="29"/>
      <c r="K37" s="36"/>
      <c r="L37" s="33" t="str">
        <f t="shared" si="2"/>
        <v/>
      </c>
      <c r="M37" s="32" t="str">
        <f t="shared" si="3"/>
        <v/>
      </c>
      <c r="N37" s="33" t="str">
        <f t="shared" si="4"/>
        <v/>
      </c>
      <c r="O37" s="34" t="str">
        <f t="shared" si="5"/>
        <v/>
      </c>
      <c r="P37" s="32" t="str">
        <f t="shared" si="6"/>
        <v/>
      </c>
      <c r="Q37" s="35" t="str">
        <f t="shared" si="7"/>
        <v/>
      </c>
    </row>
    <row r="38" spans="1:17">
      <c r="A38" s="57">
        <v>46113</v>
      </c>
      <c r="B38" s="1" t="s">
        <v>9</v>
      </c>
      <c r="C38" s="23" t="str">
        <f>Maestro_Ingredientes!$B$11</f>
        <v>Ajo</v>
      </c>
      <c r="D38" s="30" t="str">
        <f>IF(Plan_Produccion!$B$10="","",Plan_Produccion!$B$10)</f>
        <v/>
      </c>
      <c r="E38" s="30" t="str">
        <f>IF(D38="","",D38*Maestro_Ingredientes!$G$11)</f>
        <v/>
      </c>
      <c r="F38" s="30" t="str">
        <f>IF(D38="","",D38*Maestro_Ingredientes!$H$11)</f>
        <v/>
      </c>
      <c r="G38" s="29"/>
      <c r="H38" s="36"/>
      <c r="I38" s="33" t="str">
        <f t="shared" si="1"/>
        <v/>
      </c>
      <c r="J38" s="29"/>
      <c r="K38" s="36"/>
      <c r="L38" s="33" t="str">
        <f t="shared" si="2"/>
        <v/>
      </c>
      <c r="M38" s="32" t="str">
        <f t="shared" si="3"/>
        <v/>
      </c>
      <c r="N38" s="33" t="str">
        <f t="shared" si="4"/>
        <v/>
      </c>
      <c r="O38" s="34" t="str">
        <f t="shared" si="5"/>
        <v/>
      </c>
      <c r="P38" s="32" t="str">
        <f t="shared" si="6"/>
        <v/>
      </c>
      <c r="Q38" s="35" t="str">
        <f t="shared" si="7"/>
        <v/>
      </c>
    </row>
    <row r="39" spans="1:17">
      <c r="A39" s="57">
        <v>46113</v>
      </c>
      <c r="B39" s="1" t="s">
        <v>10</v>
      </c>
      <c r="C39" s="23" t="str">
        <f>Maestro_Ingredientes!$B$12</f>
        <v>Aceite de oliva virgen extra</v>
      </c>
      <c r="D39" s="30" t="str">
        <f>IF(Plan_Produccion!$B$10="","",Plan_Produccion!$B$10)</f>
        <v/>
      </c>
      <c r="E39" s="30" t="str">
        <f>IF(D39="","",D39*Maestro_Ingredientes!$G$12)</f>
        <v/>
      </c>
      <c r="F39" s="30" t="str">
        <f>IF(D39="","",D39*Maestro_Ingredientes!$H$12)</f>
        <v/>
      </c>
      <c r="G39" s="29"/>
      <c r="H39" s="36"/>
      <c r="I39" s="33" t="str">
        <f t="shared" ref="I39:I70" si="8">IF(OR(G39="",H39=""),"",G39*H39)</f>
        <v/>
      </c>
      <c r="J39" s="29"/>
      <c r="K39" s="36"/>
      <c r="L39" s="33" t="str">
        <f t="shared" ref="L39:L70" si="9">IF(OR(J39="",K39=""),"",J39*K39)</f>
        <v/>
      </c>
      <c r="M39" s="32" t="str">
        <f t="shared" ref="M39:M70" si="10">IF(COUNTA(G39,J39)=0,"",SUM(G39,J39))</f>
        <v/>
      </c>
      <c r="N39" s="33" t="str">
        <f t="shared" ref="N39:N70" si="11">IF(M39="","",IF(OR(AND(G39&lt;&gt;0,H39=""),AND(J39&lt;&gt;0,K39="")),"",SUM(I39,L39)))</f>
        <v/>
      </c>
      <c r="O39" s="34" t="str">
        <f t="shared" ref="O39:O70" si="12">IF(OR(M39="",M39=0,N39=""),"",N39/M39)</f>
        <v/>
      </c>
      <c r="P39" s="32" t="str">
        <f t="shared" ref="P39:P70" si="13">IF(OR(M39="",F39=""),"",M39-F39)</f>
        <v/>
      </c>
      <c r="Q39" s="35" t="str">
        <f t="shared" ref="Q39:Q70" si="14">IF(OR(M39="",F39="",F39=0),"",M39/F39)</f>
        <v/>
      </c>
    </row>
    <row r="40" spans="1:17">
      <c r="A40" s="57">
        <v>46113</v>
      </c>
      <c r="B40" s="1" t="s">
        <v>11</v>
      </c>
      <c r="C40" s="23" t="str">
        <f>Maestro_Ingredientes!$B$13</f>
        <v>Vinagre de Jerez</v>
      </c>
      <c r="D40" s="30" t="str">
        <f>IF(Plan_Produccion!$B$10="","",Plan_Produccion!$B$10)</f>
        <v/>
      </c>
      <c r="E40" s="30" t="str">
        <f>IF(D40="","",D40*Maestro_Ingredientes!$G$13)</f>
        <v/>
      </c>
      <c r="F40" s="30" t="str">
        <f>IF(D40="","",D40*Maestro_Ingredientes!$H$13)</f>
        <v/>
      </c>
      <c r="G40" s="29"/>
      <c r="H40" s="36"/>
      <c r="I40" s="33" t="str">
        <f t="shared" si="8"/>
        <v/>
      </c>
      <c r="J40" s="29"/>
      <c r="K40" s="36"/>
      <c r="L40" s="33" t="str">
        <f t="shared" si="9"/>
        <v/>
      </c>
      <c r="M40" s="32" t="str">
        <f t="shared" si="10"/>
        <v/>
      </c>
      <c r="N40" s="33" t="str">
        <f t="shared" si="11"/>
        <v/>
      </c>
      <c r="O40" s="34" t="str">
        <f t="shared" si="12"/>
        <v/>
      </c>
      <c r="P40" s="32" t="str">
        <f t="shared" si="13"/>
        <v/>
      </c>
      <c r="Q40" s="35" t="str">
        <f t="shared" si="14"/>
        <v/>
      </c>
    </row>
    <row r="41" spans="1:17">
      <c r="A41" s="57">
        <v>46113</v>
      </c>
      <c r="B41" s="1" t="s">
        <v>12</v>
      </c>
      <c r="C41" s="23" t="str">
        <f>Maestro_Ingredientes!$B$14</f>
        <v>Sal</v>
      </c>
      <c r="D41" s="30" t="str">
        <f>IF(Plan_Produccion!$B$10="","",Plan_Produccion!$B$10)</f>
        <v/>
      </c>
      <c r="E41" s="30" t="str">
        <f>IF(D41="","",D41*Maestro_Ingredientes!$G$14)</f>
        <v/>
      </c>
      <c r="F41" s="30" t="str">
        <f>IF(D41="","",D41*Maestro_Ingredientes!$H$14)</f>
        <v/>
      </c>
      <c r="G41" s="29"/>
      <c r="H41" s="36"/>
      <c r="I41" s="33" t="str">
        <f t="shared" si="8"/>
        <v/>
      </c>
      <c r="J41" s="29"/>
      <c r="K41" s="36"/>
      <c r="L41" s="33" t="str">
        <f t="shared" si="9"/>
        <v/>
      </c>
      <c r="M41" s="32" t="str">
        <f t="shared" si="10"/>
        <v/>
      </c>
      <c r="N41" s="33" t="str">
        <f t="shared" si="11"/>
        <v/>
      </c>
      <c r="O41" s="34" t="str">
        <f t="shared" si="12"/>
        <v/>
      </c>
      <c r="P41" s="32" t="str">
        <f t="shared" si="13"/>
        <v/>
      </c>
      <c r="Q41" s="35" t="str">
        <f t="shared" si="14"/>
        <v/>
      </c>
    </row>
    <row r="42" spans="1:17">
      <c r="A42" s="57">
        <v>46113</v>
      </c>
      <c r="B42" s="1" t="s">
        <v>13</v>
      </c>
      <c r="C42" s="23" t="str">
        <f>Maestro_Ingredientes!$B$15</f>
        <v>Zumo de limón</v>
      </c>
      <c r="D42" s="30" t="str">
        <f>IF(Plan_Produccion!$B$10="","",Plan_Produccion!$B$10)</f>
        <v/>
      </c>
      <c r="E42" s="30" t="str">
        <f>IF(D42="","",D42*Maestro_Ingredientes!$G$15)</f>
        <v/>
      </c>
      <c r="F42" s="30" t="str">
        <f>IF(D42="","",D42*Maestro_Ingredientes!$H$15)</f>
        <v/>
      </c>
      <c r="G42" s="29"/>
      <c r="H42" s="36"/>
      <c r="I42" s="33" t="str">
        <f t="shared" si="8"/>
        <v/>
      </c>
      <c r="J42" s="29"/>
      <c r="K42" s="36"/>
      <c r="L42" s="33" t="str">
        <f t="shared" si="9"/>
        <v/>
      </c>
      <c r="M42" s="32" t="str">
        <f t="shared" si="10"/>
        <v/>
      </c>
      <c r="N42" s="33" t="str">
        <f t="shared" si="11"/>
        <v/>
      </c>
      <c r="O42" s="34" t="str">
        <f t="shared" si="12"/>
        <v/>
      </c>
      <c r="P42" s="32" t="str">
        <f t="shared" si="13"/>
        <v/>
      </c>
      <c r="Q42" s="35" t="str">
        <f t="shared" si="14"/>
        <v/>
      </c>
    </row>
    <row r="43" spans="1:17">
      <c r="A43" s="58">
        <v>46143</v>
      </c>
      <c r="B43" s="1" t="s">
        <v>5</v>
      </c>
      <c r="C43" s="23" t="str">
        <f>Maestro_Ingredientes!$B$7</f>
        <v>Tomate pera</v>
      </c>
      <c r="D43" s="30" t="str">
        <f>IF(Plan_Produccion!$B$11="","",Plan_Produccion!$B$11)</f>
        <v/>
      </c>
      <c r="E43" s="30" t="str">
        <f>IF(D43="","",D43*Maestro_Ingredientes!$G$7)</f>
        <v/>
      </c>
      <c r="F43" s="30" t="str">
        <f>IF(D43="","",D43*Maestro_Ingredientes!$H$7)</f>
        <v/>
      </c>
      <c r="G43" s="29"/>
      <c r="H43" s="36"/>
      <c r="I43" s="33" t="str">
        <f t="shared" si="8"/>
        <v/>
      </c>
      <c r="J43" s="29"/>
      <c r="K43" s="36"/>
      <c r="L43" s="33" t="str">
        <f t="shared" si="9"/>
        <v/>
      </c>
      <c r="M43" s="32" t="str">
        <f t="shared" si="10"/>
        <v/>
      </c>
      <c r="N43" s="33" t="str">
        <f t="shared" si="11"/>
        <v/>
      </c>
      <c r="O43" s="34" t="str">
        <f t="shared" si="12"/>
        <v/>
      </c>
      <c r="P43" s="32" t="str">
        <f t="shared" si="13"/>
        <v/>
      </c>
      <c r="Q43" s="35" t="str">
        <f t="shared" si="14"/>
        <v/>
      </c>
    </row>
    <row r="44" spans="1:17">
      <c r="A44" s="58">
        <v>46143</v>
      </c>
      <c r="B44" s="1" t="s">
        <v>6</v>
      </c>
      <c r="C44" s="23" t="str">
        <f>Maestro_Ingredientes!$B$8</f>
        <v>Pepino</v>
      </c>
      <c r="D44" s="30" t="str">
        <f>IF(Plan_Produccion!$B$11="","",Plan_Produccion!$B$11)</f>
        <v/>
      </c>
      <c r="E44" s="30" t="str">
        <f>IF(D44="","",D44*Maestro_Ingredientes!$G$8)</f>
        <v/>
      </c>
      <c r="F44" s="30" t="str">
        <f>IF(D44="","",D44*Maestro_Ingredientes!$H$8)</f>
        <v/>
      </c>
      <c r="G44" s="29"/>
      <c r="H44" s="36"/>
      <c r="I44" s="33" t="str">
        <f t="shared" si="8"/>
        <v/>
      </c>
      <c r="J44" s="29"/>
      <c r="K44" s="36"/>
      <c r="L44" s="33" t="str">
        <f t="shared" si="9"/>
        <v/>
      </c>
      <c r="M44" s="32" t="str">
        <f t="shared" si="10"/>
        <v/>
      </c>
      <c r="N44" s="33" t="str">
        <f t="shared" si="11"/>
        <v/>
      </c>
      <c r="O44" s="34" t="str">
        <f t="shared" si="12"/>
        <v/>
      </c>
      <c r="P44" s="32" t="str">
        <f t="shared" si="13"/>
        <v/>
      </c>
      <c r="Q44" s="35" t="str">
        <f t="shared" si="14"/>
        <v/>
      </c>
    </row>
    <row r="45" spans="1:17">
      <c r="A45" s="58">
        <v>46143</v>
      </c>
      <c r="B45" s="1" t="s">
        <v>7</v>
      </c>
      <c r="C45" s="23" t="str">
        <f>Maestro_Ingredientes!$B$9</f>
        <v>Pimiento verde</v>
      </c>
      <c r="D45" s="30" t="str">
        <f>IF(Plan_Produccion!$B$11="","",Plan_Produccion!$B$11)</f>
        <v/>
      </c>
      <c r="E45" s="30" t="str">
        <f>IF(D45="","",D45*Maestro_Ingredientes!$G$9)</f>
        <v/>
      </c>
      <c r="F45" s="30" t="str">
        <f>IF(D45="","",D45*Maestro_Ingredientes!$H$9)</f>
        <v/>
      </c>
      <c r="G45" s="29"/>
      <c r="H45" s="36"/>
      <c r="I45" s="33" t="str">
        <f t="shared" si="8"/>
        <v/>
      </c>
      <c r="J45" s="29"/>
      <c r="K45" s="36"/>
      <c r="L45" s="33" t="str">
        <f t="shared" si="9"/>
        <v/>
      </c>
      <c r="M45" s="32" t="str">
        <f t="shared" si="10"/>
        <v/>
      </c>
      <c r="N45" s="33" t="str">
        <f t="shared" si="11"/>
        <v/>
      </c>
      <c r="O45" s="34" t="str">
        <f t="shared" si="12"/>
        <v/>
      </c>
      <c r="P45" s="32" t="str">
        <f t="shared" si="13"/>
        <v/>
      </c>
      <c r="Q45" s="35" t="str">
        <f t="shared" si="14"/>
        <v/>
      </c>
    </row>
    <row r="46" spans="1:17">
      <c r="A46" s="58">
        <v>46143</v>
      </c>
      <c r="B46" s="1" t="s">
        <v>8</v>
      </c>
      <c r="C46" s="23" t="str">
        <f>Maestro_Ingredientes!$B$10</f>
        <v>Cebolla</v>
      </c>
      <c r="D46" s="30" t="str">
        <f>IF(Plan_Produccion!$B$11="","",Plan_Produccion!$B$11)</f>
        <v/>
      </c>
      <c r="E46" s="30" t="str">
        <f>IF(D46="","",D46*Maestro_Ingredientes!$G$10)</f>
        <v/>
      </c>
      <c r="F46" s="30" t="str">
        <f>IF(D46="","",D46*Maestro_Ingredientes!$H$10)</f>
        <v/>
      </c>
      <c r="G46" s="29"/>
      <c r="H46" s="36"/>
      <c r="I46" s="33" t="str">
        <f t="shared" si="8"/>
        <v/>
      </c>
      <c r="J46" s="29"/>
      <c r="K46" s="36"/>
      <c r="L46" s="33" t="str">
        <f t="shared" si="9"/>
        <v/>
      </c>
      <c r="M46" s="32" t="str">
        <f t="shared" si="10"/>
        <v/>
      </c>
      <c r="N46" s="33" t="str">
        <f t="shared" si="11"/>
        <v/>
      </c>
      <c r="O46" s="34" t="str">
        <f t="shared" si="12"/>
        <v/>
      </c>
      <c r="P46" s="32" t="str">
        <f t="shared" si="13"/>
        <v/>
      </c>
      <c r="Q46" s="35" t="str">
        <f t="shared" si="14"/>
        <v/>
      </c>
    </row>
    <row r="47" spans="1:17">
      <c r="A47" s="58">
        <v>46143</v>
      </c>
      <c r="B47" s="1" t="s">
        <v>9</v>
      </c>
      <c r="C47" s="23" t="str">
        <f>Maestro_Ingredientes!$B$11</f>
        <v>Ajo</v>
      </c>
      <c r="D47" s="30" t="str">
        <f>IF(Plan_Produccion!$B$11="","",Plan_Produccion!$B$11)</f>
        <v/>
      </c>
      <c r="E47" s="30" t="str">
        <f>IF(D47="","",D47*Maestro_Ingredientes!$G$11)</f>
        <v/>
      </c>
      <c r="F47" s="30" t="str">
        <f>IF(D47="","",D47*Maestro_Ingredientes!$H$11)</f>
        <v/>
      </c>
      <c r="G47" s="29"/>
      <c r="H47" s="36"/>
      <c r="I47" s="33" t="str">
        <f t="shared" si="8"/>
        <v/>
      </c>
      <c r="J47" s="29"/>
      <c r="K47" s="36"/>
      <c r="L47" s="33" t="str">
        <f t="shared" si="9"/>
        <v/>
      </c>
      <c r="M47" s="32" t="str">
        <f t="shared" si="10"/>
        <v/>
      </c>
      <c r="N47" s="33" t="str">
        <f t="shared" si="11"/>
        <v/>
      </c>
      <c r="O47" s="34" t="str">
        <f t="shared" si="12"/>
        <v/>
      </c>
      <c r="P47" s="32" t="str">
        <f t="shared" si="13"/>
        <v/>
      </c>
      <c r="Q47" s="35" t="str">
        <f t="shared" si="14"/>
        <v/>
      </c>
    </row>
    <row r="48" spans="1:17">
      <c r="A48" s="58">
        <v>46143</v>
      </c>
      <c r="B48" s="1" t="s">
        <v>10</v>
      </c>
      <c r="C48" s="23" t="str">
        <f>Maestro_Ingredientes!$B$12</f>
        <v>Aceite de oliva virgen extra</v>
      </c>
      <c r="D48" s="30" t="str">
        <f>IF(Plan_Produccion!$B$11="","",Plan_Produccion!$B$11)</f>
        <v/>
      </c>
      <c r="E48" s="30" t="str">
        <f>IF(D48="","",D48*Maestro_Ingredientes!$G$12)</f>
        <v/>
      </c>
      <c r="F48" s="30" t="str">
        <f>IF(D48="","",D48*Maestro_Ingredientes!$H$12)</f>
        <v/>
      </c>
      <c r="G48" s="29"/>
      <c r="H48" s="36"/>
      <c r="I48" s="33" t="str">
        <f t="shared" si="8"/>
        <v/>
      </c>
      <c r="J48" s="29"/>
      <c r="K48" s="36"/>
      <c r="L48" s="33" t="str">
        <f t="shared" si="9"/>
        <v/>
      </c>
      <c r="M48" s="32" t="str">
        <f t="shared" si="10"/>
        <v/>
      </c>
      <c r="N48" s="33" t="str">
        <f t="shared" si="11"/>
        <v/>
      </c>
      <c r="O48" s="34" t="str">
        <f t="shared" si="12"/>
        <v/>
      </c>
      <c r="P48" s="32" t="str">
        <f t="shared" si="13"/>
        <v/>
      </c>
      <c r="Q48" s="35" t="str">
        <f t="shared" si="14"/>
        <v/>
      </c>
    </row>
    <row r="49" spans="1:17">
      <c r="A49" s="58">
        <v>46143</v>
      </c>
      <c r="B49" s="1" t="s">
        <v>11</v>
      </c>
      <c r="C49" s="23" t="str">
        <f>Maestro_Ingredientes!$B$13</f>
        <v>Vinagre de Jerez</v>
      </c>
      <c r="D49" s="30" t="str">
        <f>IF(Plan_Produccion!$B$11="","",Plan_Produccion!$B$11)</f>
        <v/>
      </c>
      <c r="E49" s="30" t="str">
        <f>IF(D49="","",D49*Maestro_Ingredientes!$G$13)</f>
        <v/>
      </c>
      <c r="F49" s="30" t="str">
        <f>IF(D49="","",D49*Maestro_Ingredientes!$H$13)</f>
        <v/>
      </c>
      <c r="G49" s="29"/>
      <c r="H49" s="36"/>
      <c r="I49" s="33" t="str">
        <f t="shared" si="8"/>
        <v/>
      </c>
      <c r="J49" s="29"/>
      <c r="K49" s="36"/>
      <c r="L49" s="33" t="str">
        <f t="shared" si="9"/>
        <v/>
      </c>
      <c r="M49" s="32" t="str">
        <f t="shared" si="10"/>
        <v/>
      </c>
      <c r="N49" s="33" t="str">
        <f t="shared" si="11"/>
        <v/>
      </c>
      <c r="O49" s="34" t="str">
        <f t="shared" si="12"/>
        <v/>
      </c>
      <c r="P49" s="32" t="str">
        <f t="shared" si="13"/>
        <v/>
      </c>
      <c r="Q49" s="35" t="str">
        <f t="shared" si="14"/>
        <v/>
      </c>
    </row>
    <row r="50" spans="1:17">
      <c r="A50" s="58">
        <v>46143</v>
      </c>
      <c r="B50" s="1" t="s">
        <v>12</v>
      </c>
      <c r="C50" s="23" t="str">
        <f>Maestro_Ingredientes!$B$14</f>
        <v>Sal</v>
      </c>
      <c r="D50" s="30" t="str">
        <f>IF(Plan_Produccion!$B$11="","",Plan_Produccion!$B$11)</f>
        <v/>
      </c>
      <c r="E50" s="30" t="str">
        <f>IF(D50="","",D50*Maestro_Ingredientes!$G$14)</f>
        <v/>
      </c>
      <c r="F50" s="30" t="str">
        <f>IF(D50="","",D50*Maestro_Ingredientes!$H$14)</f>
        <v/>
      </c>
      <c r="G50" s="29"/>
      <c r="H50" s="36"/>
      <c r="I50" s="33" t="str">
        <f t="shared" si="8"/>
        <v/>
      </c>
      <c r="J50" s="29"/>
      <c r="K50" s="36"/>
      <c r="L50" s="33" t="str">
        <f t="shared" si="9"/>
        <v/>
      </c>
      <c r="M50" s="32" t="str">
        <f t="shared" si="10"/>
        <v/>
      </c>
      <c r="N50" s="33" t="str">
        <f t="shared" si="11"/>
        <v/>
      </c>
      <c r="O50" s="34" t="str">
        <f t="shared" si="12"/>
        <v/>
      </c>
      <c r="P50" s="32" t="str">
        <f t="shared" si="13"/>
        <v/>
      </c>
      <c r="Q50" s="35" t="str">
        <f t="shared" si="14"/>
        <v/>
      </c>
    </row>
    <row r="51" spans="1:17">
      <c r="A51" s="58">
        <v>46143</v>
      </c>
      <c r="B51" s="1" t="s">
        <v>13</v>
      </c>
      <c r="C51" s="23" t="str">
        <f>Maestro_Ingredientes!$B$15</f>
        <v>Zumo de limón</v>
      </c>
      <c r="D51" s="30" t="str">
        <f>IF(Plan_Produccion!$B$11="","",Plan_Produccion!$B$11)</f>
        <v/>
      </c>
      <c r="E51" s="30" t="str">
        <f>IF(D51="","",D51*Maestro_Ingredientes!$G$15)</f>
        <v/>
      </c>
      <c r="F51" s="30" t="str">
        <f>IF(D51="","",D51*Maestro_Ingredientes!$H$15)</f>
        <v/>
      </c>
      <c r="G51" s="29"/>
      <c r="H51" s="36"/>
      <c r="I51" s="33" t="str">
        <f t="shared" si="8"/>
        <v/>
      </c>
      <c r="J51" s="29"/>
      <c r="K51" s="36"/>
      <c r="L51" s="33" t="str">
        <f t="shared" si="9"/>
        <v/>
      </c>
      <c r="M51" s="32" t="str">
        <f t="shared" si="10"/>
        <v/>
      </c>
      <c r="N51" s="33" t="str">
        <f t="shared" si="11"/>
        <v/>
      </c>
      <c r="O51" s="34" t="str">
        <f t="shared" si="12"/>
        <v/>
      </c>
      <c r="P51" s="32" t="str">
        <f t="shared" si="13"/>
        <v/>
      </c>
      <c r="Q51" s="35" t="str">
        <f t="shared" si="14"/>
        <v/>
      </c>
    </row>
    <row r="52" spans="1:17">
      <c r="A52" s="59">
        <v>46174</v>
      </c>
      <c r="B52" s="1" t="s">
        <v>5</v>
      </c>
      <c r="C52" s="23" t="str">
        <f>Maestro_Ingredientes!$B$7</f>
        <v>Tomate pera</v>
      </c>
      <c r="D52" s="30" t="str">
        <f>IF(Plan_Produccion!$B$12="","",Plan_Produccion!$B$12)</f>
        <v/>
      </c>
      <c r="E52" s="30" t="str">
        <f>IF(D52="","",D52*Maestro_Ingredientes!$G$7)</f>
        <v/>
      </c>
      <c r="F52" s="30" t="str">
        <f>IF(D52="","",D52*Maestro_Ingredientes!$H$7)</f>
        <v/>
      </c>
      <c r="G52" s="29"/>
      <c r="H52" s="36"/>
      <c r="I52" s="33" t="str">
        <f t="shared" si="8"/>
        <v/>
      </c>
      <c r="J52" s="29"/>
      <c r="K52" s="36"/>
      <c r="L52" s="33" t="str">
        <f t="shared" si="9"/>
        <v/>
      </c>
      <c r="M52" s="32" t="str">
        <f t="shared" si="10"/>
        <v/>
      </c>
      <c r="N52" s="33" t="str">
        <f t="shared" si="11"/>
        <v/>
      </c>
      <c r="O52" s="34" t="str">
        <f t="shared" si="12"/>
        <v/>
      </c>
      <c r="P52" s="32" t="str">
        <f t="shared" si="13"/>
        <v/>
      </c>
      <c r="Q52" s="35" t="str">
        <f t="shared" si="14"/>
        <v/>
      </c>
    </row>
    <row r="53" spans="1:17">
      <c r="A53" s="59">
        <v>46174</v>
      </c>
      <c r="B53" s="1" t="s">
        <v>6</v>
      </c>
      <c r="C53" s="23" t="str">
        <f>Maestro_Ingredientes!$B$8</f>
        <v>Pepino</v>
      </c>
      <c r="D53" s="30" t="str">
        <f>IF(Plan_Produccion!$B$12="","",Plan_Produccion!$B$12)</f>
        <v/>
      </c>
      <c r="E53" s="30" t="str">
        <f>IF(D53="","",D53*Maestro_Ingredientes!$G$8)</f>
        <v/>
      </c>
      <c r="F53" s="30" t="str">
        <f>IF(D53="","",D53*Maestro_Ingredientes!$H$8)</f>
        <v/>
      </c>
      <c r="G53" s="29"/>
      <c r="H53" s="36"/>
      <c r="I53" s="33" t="str">
        <f t="shared" si="8"/>
        <v/>
      </c>
      <c r="J53" s="29"/>
      <c r="K53" s="36"/>
      <c r="L53" s="33" t="str">
        <f t="shared" si="9"/>
        <v/>
      </c>
      <c r="M53" s="32" t="str">
        <f t="shared" si="10"/>
        <v/>
      </c>
      <c r="N53" s="33" t="str">
        <f t="shared" si="11"/>
        <v/>
      </c>
      <c r="O53" s="34" t="str">
        <f t="shared" si="12"/>
        <v/>
      </c>
      <c r="P53" s="32" t="str">
        <f t="shared" si="13"/>
        <v/>
      </c>
      <c r="Q53" s="35" t="str">
        <f t="shared" si="14"/>
        <v/>
      </c>
    </row>
    <row r="54" spans="1:17">
      <c r="A54" s="59">
        <v>46174</v>
      </c>
      <c r="B54" s="1" t="s">
        <v>7</v>
      </c>
      <c r="C54" s="23" t="str">
        <f>Maestro_Ingredientes!$B$9</f>
        <v>Pimiento verde</v>
      </c>
      <c r="D54" s="30" t="str">
        <f>IF(Plan_Produccion!$B$12="","",Plan_Produccion!$B$12)</f>
        <v/>
      </c>
      <c r="E54" s="30" t="str">
        <f>IF(D54="","",D54*Maestro_Ingredientes!$G$9)</f>
        <v/>
      </c>
      <c r="F54" s="30" t="str">
        <f>IF(D54="","",D54*Maestro_Ingredientes!$H$9)</f>
        <v/>
      </c>
      <c r="G54" s="29"/>
      <c r="H54" s="36"/>
      <c r="I54" s="33" t="str">
        <f t="shared" si="8"/>
        <v/>
      </c>
      <c r="J54" s="29"/>
      <c r="K54" s="36"/>
      <c r="L54" s="33" t="str">
        <f t="shared" si="9"/>
        <v/>
      </c>
      <c r="M54" s="32" t="str">
        <f t="shared" si="10"/>
        <v/>
      </c>
      <c r="N54" s="33" t="str">
        <f t="shared" si="11"/>
        <v/>
      </c>
      <c r="O54" s="34" t="str">
        <f t="shared" si="12"/>
        <v/>
      </c>
      <c r="P54" s="32" t="str">
        <f t="shared" si="13"/>
        <v/>
      </c>
      <c r="Q54" s="35" t="str">
        <f t="shared" si="14"/>
        <v/>
      </c>
    </row>
    <row r="55" spans="1:17">
      <c r="A55" s="59">
        <v>46174</v>
      </c>
      <c r="B55" s="1" t="s">
        <v>8</v>
      </c>
      <c r="C55" s="23" t="str">
        <f>Maestro_Ingredientes!$B$10</f>
        <v>Cebolla</v>
      </c>
      <c r="D55" s="30" t="str">
        <f>IF(Plan_Produccion!$B$12="","",Plan_Produccion!$B$12)</f>
        <v/>
      </c>
      <c r="E55" s="30" t="str">
        <f>IF(D55="","",D55*Maestro_Ingredientes!$G$10)</f>
        <v/>
      </c>
      <c r="F55" s="30" t="str">
        <f>IF(D55="","",D55*Maestro_Ingredientes!$H$10)</f>
        <v/>
      </c>
      <c r="G55" s="29"/>
      <c r="H55" s="36"/>
      <c r="I55" s="33" t="str">
        <f t="shared" si="8"/>
        <v/>
      </c>
      <c r="J55" s="29"/>
      <c r="K55" s="36"/>
      <c r="L55" s="33" t="str">
        <f t="shared" si="9"/>
        <v/>
      </c>
      <c r="M55" s="32" t="str">
        <f t="shared" si="10"/>
        <v/>
      </c>
      <c r="N55" s="33" t="str">
        <f t="shared" si="11"/>
        <v/>
      </c>
      <c r="O55" s="34" t="str">
        <f t="shared" si="12"/>
        <v/>
      </c>
      <c r="P55" s="32" t="str">
        <f t="shared" si="13"/>
        <v/>
      </c>
      <c r="Q55" s="35" t="str">
        <f t="shared" si="14"/>
        <v/>
      </c>
    </row>
    <row r="56" spans="1:17">
      <c r="A56" s="59">
        <v>46174</v>
      </c>
      <c r="B56" s="1" t="s">
        <v>9</v>
      </c>
      <c r="C56" s="23" t="str">
        <f>Maestro_Ingredientes!$B$11</f>
        <v>Ajo</v>
      </c>
      <c r="D56" s="30" t="str">
        <f>IF(Plan_Produccion!$B$12="","",Plan_Produccion!$B$12)</f>
        <v/>
      </c>
      <c r="E56" s="30" t="str">
        <f>IF(D56="","",D56*Maestro_Ingredientes!$G$11)</f>
        <v/>
      </c>
      <c r="F56" s="30" t="str">
        <f>IF(D56="","",D56*Maestro_Ingredientes!$H$11)</f>
        <v/>
      </c>
      <c r="G56" s="29"/>
      <c r="H56" s="36"/>
      <c r="I56" s="33" t="str">
        <f t="shared" si="8"/>
        <v/>
      </c>
      <c r="J56" s="29"/>
      <c r="K56" s="36"/>
      <c r="L56" s="33" t="str">
        <f t="shared" si="9"/>
        <v/>
      </c>
      <c r="M56" s="32" t="str">
        <f t="shared" si="10"/>
        <v/>
      </c>
      <c r="N56" s="33" t="str">
        <f t="shared" si="11"/>
        <v/>
      </c>
      <c r="O56" s="34" t="str">
        <f t="shared" si="12"/>
        <v/>
      </c>
      <c r="P56" s="32" t="str">
        <f t="shared" si="13"/>
        <v/>
      </c>
      <c r="Q56" s="35" t="str">
        <f t="shared" si="14"/>
        <v/>
      </c>
    </row>
    <row r="57" spans="1:17">
      <c r="A57" s="59">
        <v>46174</v>
      </c>
      <c r="B57" s="1" t="s">
        <v>10</v>
      </c>
      <c r="C57" s="23" t="str">
        <f>Maestro_Ingredientes!$B$12</f>
        <v>Aceite de oliva virgen extra</v>
      </c>
      <c r="D57" s="30" t="str">
        <f>IF(Plan_Produccion!$B$12="","",Plan_Produccion!$B$12)</f>
        <v/>
      </c>
      <c r="E57" s="30" t="str">
        <f>IF(D57="","",D57*Maestro_Ingredientes!$G$12)</f>
        <v/>
      </c>
      <c r="F57" s="30" t="str">
        <f>IF(D57="","",D57*Maestro_Ingredientes!$H$12)</f>
        <v/>
      </c>
      <c r="G57" s="29"/>
      <c r="H57" s="36"/>
      <c r="I57" s="33" t="str">
        <f t="shared" si="8"/>
        <v/>
      </c>
      <c r="J57" s="29"/>
      <c r="K57" s="36"/>
      <c r="L57" s="33" t="str">
        <f t="shared" si="9"/>
        <v/>
      </c>
      <c r="M57" s="32" t="str">
        <f t="shared" si="10"/>
        <v/>
      </c>
      <c r="N57" s="33" t="str">
        <f t="shared" si="11"/>
        <v/>
      </c>
      <c r="O57" s="34" t="str">
        <f t="shared" si="12"/>
        <v/>
      </c>
      <c r="P57" s="32" t="str">
        <f t="shared" si="13"/>
        <v/>
      </c>
      <c r="Q57" s="35" t="str">
        <f t="shared" si="14"/>
        <v/>
      </c>
    </row>
    <row r="58" spans="1:17">
      <c r="A58" s="59">
        <v>46174</v>
      </c>
      <c r="B58" s="1" t="s">
        <v>11</v>
      </c>
      <c r="C58" s="23" t="str">
        <f>Maestro_Ingredientes!$B$13</f>
        <v>Vinagre de Jerez</v>
      </c>
      <c r="D58" s="30" t="str">
        <f>IF(Plan_Produccion!$B$12="","",Plan_Produccion!$B$12)</f>
        <v/>
      </c>
      <c r="E58" s="30" t="str">
        <f>IF(D58="","",D58*Maestro_Ingredientes!$G$13)</f>
        <v/>
      </c>
      <c r="F58" s="30" t="str">
        <f>IF(D58="","",D58*Maestro_Ingredientes!$H$13)</f>
        <v/>
      </c>
      <c r="G58" s="29"/>
      <c r="H58" s="36"/>
      <c r="I58" s="33" t="str">
        <f t="shared" si="8"/>
        <v/>
      </c>
      <c r="J58" s="29"/>
      <c r="K58" s="36"/>
      <c r="L58" s="33" t="str">
        <f t="shared" si="9"/>
        <v/>
      </c>
      <c r="M58" s="32" t="str">
        <f t="shared" si="10"/>
        <v/>
      </c>
      <c r="N58" s="33" t="str">
        <f t="shared" si="11"/>
        <v/>
      </c>
      <c r="O58" s="34" t="str">
        <f t="shared" si="12"/>
        <v/>
      </c>
      <c r="P58" s="32" t="str">
        <f t="shared" si="13"/>
        <v/>
      </c>
      <c r="Q58" s="35" t="str">
        <f t="shared" si="14"/>
        <v/>
      </c>
    </row>
    <row r="59" spans="1:17">
      <c r="A59" s="59">
        <v>46174</v>
      </c>
      <c r="B59" s="1" t="s">
        <v>12</v>
      </c>
      <c r="C59" s="23" t="str">
        <f>Maestro_Ingredientes!$B$14</f>
        <v>Sal</v>
      </c>
      <c r="D59" s="30" t="str">
        <f>IF(Plan_Produccion!$B$12="","",Plan_Produccion!$B$12)</f>
        <v/>
      </c>
      <c r="E59" s="30" t="str">
        <f>IF(D59="","",D59*Maestro_Ingredientes!$G$14)</f>
        <v/>
      </c>
      <c r="F59" s="30" t="str">
        <f>IF(D59="","",D59*Maestro_Ingredientes!$H$14)</f>
        <v/>
      </c>
      <c r="G59" s="29"/>
      <c r="H59" s="36"/>
      <c r="I59" s="33" t="str">
        <f t="shared" si="8"/>
        <v/>
      </c>
      <c r="J59" s="29"/>
      <c r="K59" s="36"/>
      <c r="L59" s="33" t="str">
        <f t="shared" si="9"/>
        <v/>
      </c>
      <c r="M59" s="32" t="str">
        <f t="shared" si="10"/>
        <v/>
      </c>
      <c r="N59" s="33" t="str">
        <f t="shared" si="11"/>
        <v/>
      </c>
      <c r="O59" s="34" t="str">
        <f t="shared" si="12"/>
        <v/>
      </c>
      <c r="P59" s="32" t="str">
        <f t="shared" si="13"/>
        <v/>
      </c>
      <c r="Q59" s="35" t="str">
        <f t="shared" si="14"/>
        <v/>
      </c>
    </row>
    <row r="60" spans="1:17">
      <c r="A60" s="59">
        <v>46174</v>
      </c>
      <c r="B60" s="1" t="s">
        <v>13</v>
      </c>
      <c r="C60" s="23" t="str">
        <f>Maestro_Ingredientes!$B$15</f>
        <v>Zumo de limón</v>
      </c>
      <c r="D60" s="30" t="str">
        <f>IF(Plan_Produccion!$B$12="","",Plan_Produccion!$B$12)</f>
        <v/>
      </c>
      <c r="E60" s="30" t="str">
        <f>IF(D60="","",D60*Maestro_Ingredientes!$G$15)</f>
        <v/>
      </c>
      <c r="F60" s="30" t="str">
        <f>IF(D60="","",D60*Maestro_Ingredientes!$H$15)</f>
        <v/>
      </c>
      <c r="G60" s="29"/>
      <c r="H60" s="36"/>
      <c r="I60" s="33" t="str">
        <f t="shared" si="8"/>
        <v/>
      </c>
      <c r="J60" s="29"/>
      <c r="K60" s="36"/>
      <c r="L60" s="33" t="str">
        <f t="shared" si="9"/>
        <v/>
      </c>
      <c r="M60" s="32" t="str">
        <f t="shared" si="10"/>
        <v/>
      </c>
      <c r="N60" s="33" t="str">
        <f t="shared" si="11"/>
        <v/>
      </c>
      <c r="O60" s="34" t="str">
        <f t="shared" si="12"/>
        <v/>
      </c>
      <c r="P60" s="32" t="str">
        <f t="shared" si="13"/>
        <v/>
      </c>
      <c r="Q60" s="35" t="str">
        <f t="shared" si="14"/>
        <v/>
      </c>
    </row>
    <row r="61" spans="1:17">
      <c r="A61" s="60">
        <v>46204</v>
      </c>
      <c r="B61" s="1" t="s">
        <v>5</v>
      </c>
      <c r="C61" s="23" t="str">
        <f>Maestro_Ingredientes!$B$7</f>
        <v>Tomate pera</v>
      </c>
      <c r="D61" s="30" t="str">
        <f>IF(Plan_Produccion!$B$13="","",Plan_Produccion!$B$13)</f>
        <v/>
      </c>
      <c r="E61" s="30" t="str">
        <f>IF(D61="","",D61*Maestro_Ingredientes!$G$7)</f>
        <v/>
      </c>
      <c r="F61" s="30" t="str">
        <f>IF(D61="","",D61*Maestro_Ingredientes!$H$7)</f>
        <v/>
      </c>
      <c r="G61" s="29"/>
      <c r="H61" s="36"/>
      <c r="I61" s="33" t="str">
        <f t="shared" si="8"/>
        <v/>
      </c>
      <c r="J61" s="29"/>
      <c r="K61" s="36"/>
      <c r="L61" s="33" t="str">
        <f t="shared" si="9"/>
        <v/>
      </c>
      <c r="M61" s="32" t="str">
        <f t="shared" si="10"/>
        <v/>
      </c>
      <c r="N61" s="33" t="str">
        <f t="shared" si="11"/>
        <v/>
      </c>
      <c r="O61" s="34" t="str">
        <f t="shared" si="12"/>
        <v/>
      </c>
      <c r="P61" s="32" t="str">
        <f t="shared" si="13"/>
        <v/>
      </c>
      <c r="Q61" s="35" t="str">
        <f t="shared" si="14"/>
        <v/>
      </c>
    </row>
    <row r="62" spans="1:17">
      <c r="A62" s="60">
        <v>46204</v>
      </c>
      <c r="B62" s="1" t="s">
        <v>6</v>
      </c>
      <c r="C62" s="23" t="str">
        <f>Maestro_Ingredientes!$B$8</f>
        <v>Pepino</v>
      </c>
      <c r="D62" s="30" t="str">
        <f>IF(Plan_Produccion!$B$13="","",Plan_Produccion!$B$13)</f>
        <v/>
      </c>
      <c r="E62" s="30" t="str">
        <f>IF(D62="","",D62*Maestro_Ingredientes!$G$8)</f>
        <v/>
      </c>
      <c r="F62" s="30" t="str">
        <f>IF(D62="","",D62*Maestro_Ingredientes!$H$8)</f>
        <v/>
      </c>
      <c r="G62" s="29"/>
      <c r="H62" s="36"/>
      <c r="I62" s="33" t="str">
        <f t="shared" si="8"/>
        <v/>
      </c>
      <c r="J62" s="29"/>
      <c r="K62" s="36"/>
      <c r="L62" s="33" t="str">
        <f t="shared" si="9"/>
        <v/>
      </c>
      <c r="M62" s="32" t="str">
        <f t="shared" si="10"/>
        <v/>
      </c>
      <c r="N62" s="33" t="str">
        <f t="shared" si="11"/>
        <v/>
      </c>
      <c r="O62" s="34" t="str">
        <f t="shared" si="12"/>
        <v/>
      </c>
      <c r="P62" s="32" t="str">
        <f t="shared" si="13"/>
        <v/>
      </c>
      <c r="Q62" s="35" t="str">
        <f t="shared" si="14"/>
        <v/>
      </c>
    </row>
    <row r="63" spans="1:17">
      <c r="A63" s="60">
        <v>46204</v>
      </c>
      <c r="B63" s="1" t="s">
        <v>7</v>
      </c>
      <c r="C63" s="23" t="str">
        <f>Maestro_Ingredientes!$B$9</f>
        <v>Pimiento verde</v>
      </c>
      <c r="D63" s="30" t="str">
        <f>IF(Plan_Produccion!$B$13="","",Plan_Produccion!$B$13)</f>
        <v/>
      </c>
      <c r="E63" s="30" t="str">
        <f>IF(D63="","",D63*Maestro_Ingredientes!$G$9)</f>
        <v/>
      </c>
      <c r="F63" s="30" t="str">
        <f>IF(D63="","",D63*Maestro_Ingredientes!$H$9)</f>
        <v/>
      </c>
      <c r="G63" s="29"/>
      <c r="H63" s="36"/>
      <c r="I63" s="33" t="str">
        <f t="shared" si="8"/>
        <v/>
      </c>
      <c r="J63" s="29"/>
      <c r="K63" s="36"/>
      <c r="L63" s="33" t="str">
        <f t="shared" si="9"/>
        <v/>
      </c>
      <c r="M63" s="32" t="str">
        <f t="shared" si="10"/>
        <v/>
      </c>
      <c r="N63" s="33" t="str">
        <f t="shared" si="11"/>
        <v/>
      </c>
      <c r="O63" s="34" t="str">
        <f t="shared" si="12"/>
        <v/>
      </c>
      <c r="P63" s="32" t="str">
        <f t="shared" si="13"/>
        <v/>
      </c>
      <c r="Q63" s="35" t="str">
        <f t="shared" si="14"/>
        <v/>
      </c>
    </row>
    <row r="64" spans="1:17">
      <c r="A64" s="60">
        <v>46204</v>
      </c>
      <c r="B64" s="1" t="s">
        <v>8</v>
      </c>
      <c r="C64" s="23" t="str">
        <f>Maestro_Ingredientes!$B$10</f>
        <v>Cebolla</v>
      </c>
      <c r="D64" s="30" t="str">
        <f>IF(Plan_Produccion!$B$13="","",Plan_Produccion!$B$13)</f>
        <v/>
      </c>
      <c r="E64" s="30" t="str">
        <f>IF(D64="","",D64*Maestro_Ingredientes!$G$10)</f>
        <v/>
      </c>
      <c r="F64" s="30" t="str">
        <f>IF(D64="","",D64*Maestro_Ingredientes!$H$10)</f>
        <v/>
      </c>
      <c r="G64" s="29"/>
      <c r="H64" s="36"/>
      <c r="I64" s="33" t="str">
        <f t="shared" si="8"/>
        <v/>
      </c>
      <c r="J64" s="29"/>
      <c r="K64" s="36"/>
      <c r="L64" s="33" t="str">
        <f t="shared" si="9"/>
        <v/>
      </c>
      <c r="M64" s="32" t="str">
        <f t="shared" si="10"/>
        <v/>
      </c>
      <c r="N64" s="33" t="str">
        <f t="shared" si="11"/>
        <v/>
      </c>
      <c r="O64" s="34" t="str">
        <f t="shared" si="12"/>
        <v/>
      </c>
      <c r="P64" s="32" t="str">
        <f t="shared" si="13"/>
        <v/>
      </c>
      <c r="Q64" s="35" t="str">
        <f t="shared" si="14"/>
        <v/>
      </c>
    </row>
    <row r="65" spans="1:17">
      <c r="A65" s="60">
        <v>46204</v>
      </c>
      <c r="B65" s="1" t="s">
        <v>9</v>
      </c>
      <c r="C65" s="23" t="str">
        <f>Maestro_Ingredientes!$B$11</f>
        <v>Ajo</v>
      </c>
      <c r="D65" s="30" t="str">
        <f>IF(Plan_Produccion!$B$13="","",Plan_Produccion!$B$13)</f>
        <v/>
      </c>
      <c r="E65" s="30" t="str">
        <f>IF(D65="","",D65*Maestro_Ingredientes!$G$11)</f>
        <v/>
      </c>
      <c r="F65" s="30" t="str">
        <f>IF(D65="","",D65*Maestro_Ingredientes!$H$11)</f>
        <v/>
      </c>
      <c r="G65" s="29"/>
      <c r="H65" s="36"/>
      <c r="I65" s="33" t="str">
        <f t="shared" si="8"/>
        <v/>
      </c>
      <c r="J65" s="29"/>
      <c r="K65" s="36"/>
      <c r="L65" s="33" t="str">
        <f t="shared" si="9"/>
        <v/>
      </c>
      <c r="M65" s="32" t="str">
        <f t="shared" si="10"/>
        <v/>
      </c>
      <c r="N65" s="33" t="str">
        <f t="shared" si="11"/>
        <v/>
      </c>
      <c r="O65" s="34" t="str">
        <f t="shared" si="12"/>
        <v/>
      </c>
      <c r="P65" s="32" t="str">
        <f t="shared" si="13"/>
        <v/>
      </c>
      <c r="Q65" s="35" t="str">
        <f t="shared" si="14"/>
        <v/>
      </c>
    </row>
    <row r="66" spans="1:17">
      <c r="A66" s="60">
        <v>46204</v>
      </c>
      <c r="B66" s="1" t="s">
        <v>10</v>
      </c>
      <c r="C66" s="23" t="str">
        <f>Maestro_Ingredientes!$B$12</f>
        <v>Aceite de oliva virgen extra</v>
      </c>
      <c r="D66" s="30" t="str">
        <f>IF(Plan_Produccion!$B$13="","",Plan_Produccion!$B$13)</f>
        <v/>
      </c>
      <c r="E66" s="30" t="str">
        <f>IF(D66="","",D66*Maestro_Ingredientes!$G$12)</f>
        <v/>
      </c>
      <c r="F66" s="30" t="str">
        <f>IF(D66="","",D66*Maestro_Ingredientes!$H$12)</f>
        <v/>
      </c>
      <c r="G66" s="29"/>
      <c r="H66" s="36"/>
      <c r="I66" s="33" t="str">
        <f t="shared" si="8"/>
        <v/>
      </c>
      <c r="J66" s="29"/>
      <c r="K66" s="36"/>
      <c r="L66" s="33" t="str">
        <f t="shared" si="9"/>
        <v/>
      </c>
      <c r="M66" s="32" t="str">
        <f t="shared" si="10"/>
        <v/>
      </c>
      <c r="N66" s="33" t="str">
        <f t="shared" si="11"/>
        <v/>
      </c>
      <c r="O66" s="34" t="str">
        <f t="shared" si="12"/>
        <v/>
      </c>
      <c r="P66" s="32" t="str">
        <f t="shared" si="13"/>
        <v/>
      </c>
      <c r="Q66" s="35" t="str">
        <f t="shared" si="14"/>
        <v/>
      </c>
    </row>
    <row r="67" spans="1:17">
      <c r="A67" s="60">
        <v>46204</v>
      </c>
      <c r="B67" s="1" t="s">
        <v>11</v>
      </c>
      <c r="C67" s="23" t="str">
        <f>Maestro_Ingredientes!$B$13</f>
        <v>Vinagre de Jerez</v>
      </c>
      <c r="D67" s="30" t="str">
        <f>IF(Plan_Produccion!$B$13="","",Plan_Produccion!$B$13)</f>
        <v/>
      </c>
      <c r="E67" s="30" t="str">
        <f>IF(D67="","",D67*Maestro_Ingredientes!$G$13)</f>
        <v/>
      </c>
      <c r="F67" s="30" t="str">
        <f>IF(D67="","",D67*Maestro_Ingredientes!$H$13)</f>
        <v/>
      </c>
      <c r="G67" s="29"/>
      <c r="H67" s="36"/>
      <c r="I67" s="33" t="str">
        <f t="shared" si="8"/>
        <v/>
      </c>
      <c r="J67" s="29"/>
      <c r="K67" s="36"/>
      <c r="L67" s="33" t="str">
        <f t="shared" si="9"/>
        <v/>
      </c>
      <c r="M67" s="32" t="str">
        <f t="shared" si="10"/>
        <v/>
      </c>
      <c r="N67" s="33" t="str">
        <f t="shared" si="11"/>
        <v/>
      </c>
      <c r="O67" s="34" t="str">
        <f t="shared" si="12"/>
        <v/>
      </c>
      <c r="P67" s="32" t="str">
        <f t="shared" si="13"/>
        <v/>
      </c>
      <c r="Q67" s="35" t="str">
        <f t="shared" si="14"/>
        <v/>
      </c>
    </row>
    <row r="68" spans="1:17">
      <c r="A68" s="60">
        <v>46204</v>
      </c>
      <c r="B68" s="1" t="s">
        <v>12</v>
      </c>
      <c r="C68" s="23" t="str">
        <f>Maestro_Ingredientes!$B$14</f>
        <v>Sal</v>
      </c>
      <c r="D68" s="30" t="str">
        <f>IF(Plan_Produccion!$B$13="","",Plan_Produccion!$B$13)</f>
        <v/>
      </c>
      <c r="E68" s="30" t="str">
        <f>IF(D68="","",D68*Maestro_Ingredientes!$G$14)</f>
        <v/>
      </c>
      <c r="F68" s="30" t="str">
        <f>IF(D68="","",D68*Maestro_Ingredientes!$H$14)</f>
        <v/>
      </c>
      <c r="G68" s="29"/>
      <c r="H68" s="36"/>
      <c r="I68" s="33" t="str">
        <f t="shared" si="8"/>
        <v/>
      </c>
      <c r="J68" s="29"/>
      <c r="K68" s="36"/>
      <c r="L68" s="33" t="str">
        <f t="shared" si="9"/>
        <v/>
      </c>
      <c r="M68" s="32" t="str">
        <f t="shared" si="10"/>
        <v/>
      </c>
      <c r="N68" s="33" t="str">
        <f t="shared" si="11"/>
        <v/>
      </c>
      <c r="O68" s="34" t="str">
        <f t="shared" si="12"/>
        <v/>
      </c>
      <c r="P68" s="32" t="str">
        <f t="shared" si="13"/>
        <v/>
      </c>
      <c r="Q68" s="35" t="str">
        <f t="shared" si="14"/>
        <v/>
      </c>
    </row>
    <row r="69" spans="1:17">
      <c r="A69" s="60">
        <v>46204</v>
      </c>
      <c r="B69" s="1" t="s">
        <v>13</v>
      </c>
      <c r="C69" s="23" t="str">
        <f>Maestro_Ingredientes!$B$15</f>
        <v>Zumo de limón</v>
      </c>
      <c r="D69" s="30" t="str">
        <f>IF(Plan_Produccion!$B$13="","",Plan_Produccion!$B$13)</f>
        <v/>
      </c>
      <c r="E69" s="30" t="str">
        <f>IF(D69="","",D69*Maestro_Ingredientes!$G$15)</f>
        <v/>
      </c>
      <c r="F69" s="30" t="str">
        <f>IF(D69="","",D69*Maestro_Ingredientes!$H$15)</f>
        <v/>
      </c>
      <c r="G69" s="29"/>
      <c r="H69" s="36"/>
      <c r="I69" s="33" t="str">
        <f t="shared" si="8"/>
        <v/>
      </c>
      <c r="J69" s="29"/>
      <c r="K69" s="36"/>
      <c r="L69" s="33" t="str">
        <f t="shared" si="9"/>
        <v/>
      </c>
      <c r="M69" s="32" t="str">
        <f t="shared" si="10"/>
        <v/>
      </c>
      <c r="N69" s="33" t="str">
        <f t="shared" si="11"/>
        <v/>
      </c>
      <c r="O69" s="34" t="str">
        <f t="shared" si="12"/>
        <v/>
      </c>
      <c r="P69" s="32" t="str">
        <f t="shared" si="13"/>
        <v/>
      </c>
      <c r="Q69" s="35" t="str">
        <f t="shared" si="14"/>
        <v/>
      </c>
    </row>
    <row r="70" spans="1:17">
      <c r="A70" s="61">
        <v>46235</v>
      </c>
      <c r="B70" s="1" t="s">
        <v>5</v>
      </c>
      <c r="C70" s="23" t="str">
        <f>Maestro_Ingredientes!$B$7</f>
        <v>Tomate pera</v>
      </c>
      <c r="D70" s="30" t="str">
        <f>IF(Plan_Produccion!$B$14="","",Plan_Produccion!$B$14)</f>
        <v/>
      </c>
      <c r="E70" s="30" t="str">
        <f>IF(D70="","",D70*Maestro_Ingredientes!$G$7)</f>
        <v/>
      </c>
      <c r="F70" s="30" t="str">
        <f>IF(D70="","",D70*Maestro_Ingredientes!$H$7)</f>
        <v/>
      </c>
      <c r="G70" s="29"/>
      <c r="H70" s="36"/>
      <c r="I70" s="33" t="str">
        <f t="shared" si="8"/>
        <v/>
      </c>
      <c r="J70" s="29"/>
      <c r="K70" s="36"/>
      <c r="L70" s="33" t="str">
        <f t="shared" si="9"/>
        <v/>
      </c>
      <c r="M70" s="32" t="str">
        <f t="shared" si="10"/>
        <v/>
      </c>
      <c r="N70" s="33" t="str">
        <f t="shared" si="11"/>
        <v/>
      </c>
      <c r="O70" s="34" t="str">
        <f t="shared" si="12"/>
        <v/>
      </c>
      <c r="P70" s="32" t="str">
        <f t="shared" si="13"/>
        <v/>
      </c>
      <c r="Q70" s="35" t="str">
        <f t="shared" si="14"/>
        <v/>
      </c>
    </row>
    <row r="71" spans="1:17">
      <c r="A71" s="61">
        <v>46235</v>
      </c>
      <c r="B71" s="1" t="s">
        <v>6</v>
      </c>
      <c r="C71" s="23" t="str">
        <f>Maestro_Ingredientes!$B$8</f>
        <v>Pepino</v>
      </c>
      <c r="D71" s="30" t="str">
        <f>IF(Plan_Produccion!$B$14="","",Plan_Produccion!$B$14)</f>
        <v/>
      </c>
      <c r="E71" s="30" t="str">
        <f>IF(D71="","",D71*Maestro_Ingredientes!$G$8)</f>
        <v/>
      </c>
      <c r="F71" s="30" t="str">
        <f>IF(D71="","",D71*Maestro_Ingredientes!$H$8)</f>
        <v/>
      </c>
      <c r="G71" s="29"/>
      <c r="H71" s="36"/>
      <c r="I71" s="33" t="str">
        <f t="shared" ref="I71:I102" si="15">IF(OR(G71="",H71=""),"",G71*H71)</f>
        <v/>
      </c>
      <c r="J71" s="29"/>
      <c r="K71" s="36"/>
      <c r="L71" s="33" t="str">
        <f t="shared" ref="L71:L102" si="16">IF(OR(J71="",K71=""),"",J71*K71)</f>
        <v/>
      </c>
      <c r="M71" s="32" t="str">
        <f t="shared" ref="M71:M102" si="17">IF(COUNTA(G71,J71)=0,"",SUM(G71,J71))</f>
        <v/>
      </c>
      <c r="N71" s="33" t="str">
        <f t="shared" ref="N71:N102" si="18">IF(M71="","",IF(OR(AND(G71&lt;&gt;0,H71=""),AND(J71&lt;&gt;0,K71="")),"",SUM(I71,L71)))</f>
        <v/>
      </c>
      <c r="O71" s="34" t="str">
        <f t="shared" ref="O71:O102" si="19">IF(OR(M71="",M71=0,N71=""),"",N71/M71)</f>
        <v/>
      </c>
      <c r="P71" s="32" t="str">
        <f t="shared" ref="P71:P102" si="20">IF(OR(M71="",F71=""),"",M71-F71)</f>
        <v/>
      </c>
      <c r="Q71" s="35" t="str">
        <f t="shared" ref="Q71:Q102" si="21">IF(OR(M71="",F71="",F71=0),"",M71/F71)</f>
        <v/>
      </c>
    </row>
    <row r="72" spans="1:17">
      <c r="A72" s="61">
        <v>46235</v>
      </c>
      <c r="B72" s="1" t="s">
        <v>7</v>
      </c>
      <c r="C72" s="23" t="str">
        <f>Maestro_Ingredientes!$B$9</f>
        <v>Pimiento verde</v>
      </c>
      <c r="D72" s="30" t="str">
        <f>IF(Plan_Produccion!$B$14="","",Plan_Produccion!$B$14)</f>
        <v/>
      </c>
      <c r="E72" s="30" t="str">
        <f>IF(D72="","",D72*Maestro_Ingredientes!$G$9)</f>
        <v/>
      </c>
      <c r="F72" s="30" t="str">
        <f>IF(D72="","",D72*Maestro_Ingredientes!$H$9)</f>
        <v/>
      </c>
      <c r="G72" s="29"/>
      <c r="H72" s="36"/>
      <c r="I72" s="33" t="str">
        <f t="shared" si="15"/>
        <v/>
      </c>
      <c r="J72" s="29"/>
      <c r="K72" s="36"/>
      <c r="L72" s="33" t="str">
        <f t="shared" si="16"/>
        <v/>
      </c>
      <c r="M72" s="32" t="str">
        <f t="shared" si="17"/>
        <v/>
      </c>
      <c r="N72" s="33" t="str">
        <f t="shared" si="18"/>
        <v/>
      </c>
      <c r="O72" s="34" t="str">
        <f t="shared" si="19"/>
        <v/>
      </c>
      <c r="P72" s="32" t="str">
        <f t="shared" si="20"/>
        <v/>
      </c>
      <c r="Q72" s="35" t="str">
        <f t="shared" si="21"/>
        <v/>
      </c>
    </row>
    <row r="73" spans="1:17">
      <c r="A73" s="61">
        <v>46235</v>
      </c>
      <c r="B73" s="1" t="s">
        <v>8</v>
      </c>
      <c r="C73" s="23" t="str">
        <f>Maestro_Ingredientes!$B$10</f>
        <v>Cebolla</v>
      </c>
      <c r="D73" s="30" t="str">
        <f>IF(Plan_Produccion!$B$14="","",Plan_Produccion!$B$14)</f>
        <v/>
      </c>
      <c r="E73" s="30" t="str">
        <f>IF(D73="","",D73*Maestro_Ingredientes!$G$10)</f>
        <v/>
      </c>
      <c r="F73" s="30" t="str">
        <f>IF(D73="","",D73*Maestro_Ingredientes!$H$10)</f>
        <v/>
      </c>
      <c r="G73" s="29"/>
      <c r="H73" s="36"/>
      <c r="I73" s="33" t="str">
        <f t="shared" si="15"/>
        <v/>
      </c>
      <c r="J73" s="29"/>
      <c r="K73" s="36"/>
      <c r="L73" s="33" t="str">
        <f t="shared" si="16"/>
        <v/>
      </c>
      <c r="M73" s="32" t="str">
        <f t="shared" si="17"/>
        <v/>
      </c>
      <c r="N73" s="33" t="str">
        <f t="shared" si="18"/>
        <v/>
      </c>
      <c r="O73" s="34" t="str">
        <f t="shared" si="19"/>
        <v/>
      </c>
      <c r="P73" s="32" t="str">
        <f t="shared" si="20"/>
        <v/>
      </c>
      <c r="Q73" s="35" t="str">
        <f t="shared" si="21"/>
        <v/>
      </c>
    </row>
    <row r="74" spans="1:17">
      <c r="A74" s="61">
        <v>46235</v>
      </c>
      <c r="B74" s="1" t="s">
        <v>9</v>
      </c>
      <c r="C74" s="23" t="str">
        <f>Maestro_Ingredientes!$B$11</f>
        <v>Ajo</v>
      </c>
      <c r="D74" s="30" t="str">
        <f>IF(Plan_Produccion!$B$14="","",Plan_Produccion!$B$14)</f>
        <v/>
      </c>
      <c r="E74" s="30" t="str">
        <f>IF(D74="","",D74*Maestro_Ingredientes!$G$11)</f>
        <v/>
      </c>
      <c r="F74" s="30" t="str">
        <f>IF(D74="","",D74*Maestro_Ingredientes!$H$11)</f>
        <v/>
      </c>
      <c r="G74" s="29"/>
      <c r="H74" s="36"/>
      <c r="I74" s="33" t="str">
        <f t="shared" si="15"/>
        <v/>
      </c>
      <c r="J74" s="29"/>
      <c r="K74" s="36"/>
      <c r="L74" s="33" t="str">
        <f t="shared" si="16"/>
        <v/>
      </c>
      <c r="M74" s="32" t="str">
        <f t="shared" si="17"/>
        <v/>
      </c>
      <c r="N74" s="33" t="str">
        <f t="shared" si="18"/>
        <v/>
      </c>
      <c r="O74" s="34" t="str">
        <f t="shared" si="19"/>
        <v/>
      </c>
      <c r="P74" s="32" t="str">
        <f t="shared" si="20"/>
        <v/>
      </c>
      <c r="Q74" s="35" t="str">
        <f t="shared" si="21"/>
        <v/>
      </c>
    </row>
    <row r="75" spans="1:17">
      <c r="A75" s="61">
        <v>46235</v>
      </c>
      <c r="B75" s="1" t="s">
        <v>10</v>
      </c>
      <c r="C75" s="23" t="str">
        <f>Maestro_Ingredientes!$B$12</f>
        <v>Aceite de oliva virgen extra</v>
      </c>
      <c r="D75" s="30" t="str">
        <f>IF(Plan_Produccion!$B$14="","",Plan_Produccion!$B$14)</f>
        <v/>
      </c>
      <c r="E75" s="30" t="str">
        <f>IF(D75="","",D75*Maestro_Ingredientes!$G$12)</f>
        <v/>
      </c>
      <c r="F75" s="30" t="str">
        <f>IF(D75="","",D75*Maestro_Ingredientes!$H$12)</f>
        <v/>
      </c>
      <c r="G75" s="29"/>
      <c r="H75" s="36"/>
      <c r="I75" s="33" t="str">
        <f t="shared" si="15"/>
        <v/>
      </c>
      <c r="J75" s="29"/>
      <c r="K75" s="36"/>
      <c r="L75" s="33" t="str">
        <f t="shared" si="16"/>
        <v/>
      </c>
      <c r="M75" s="32" t="str">
        <f t="shared" si="17"/>
        <v/>
      </c>
      <c r="N75" s="33" t="str">
        <f t="shared" si="18"/>
        <v/>
      </c>
      <c r="O75" s="34" t="str">
        <f t="shared" si="19"/>
        <v/>
      </c>
      <c r="P75" s="32" t="str">
        <f t="shared" si="20"/>
        <v/>
      </c>
      <c r="Q75" s="35" t="str">
        <f t="shared" si="21"/>
        <v/>
      </c>
    </row>
    <row r="76" spans="1:17">
      <c r="A76" s="61">
        <v>46235</v>
      </c>
      <c r="B76" s="1" t="s">
        <v>11</v>
      </c>
      <c r="C76" s="23" t="str">
        <f>Maestro_Ingredientes!$B$13</f>
        <v>Vinagre de Jerez</v>
      </c>
      <c r="D76" s="30" t="str">
        <f>IF(Plan_Produccion!$B$14="","",Plan_Produccion!$B$14)</f>
        <v/>
      </c>
      <c r="E76" s="30" t="str">
        <f>IF(D76="","",D76*Maestro_Ingredientes!$G$13)</f>
        <v/>
      </c>
      <c r="F76" s="30" t="str">
        <f>IF(D76="","",D76*Maestro_Ingredientes!$H$13)</f>
        <v/>
      </c>
      <c r="G76" s="29"/>
      <c r="H76" s="36"/>
      <c r="I76" s="33" t="str">
        <f t="shared" si="15"/>
        <v/>
      </c>
      <c r="J76" s="29"/>
      <c r="K76" s="36"/>
      <c r="L76" s="33" t="str">
        <f t="shared" si="16"/>
        <v/>
      </c>
      <c r="M76" s="32" t="str">
        <f t="shared" si="17"/>
        <v/>
      </c>
      <c r="N76" s="33" t="str">
        <f t="shared" si="18"/>
        <v/>
      </c>
      <c r="O76" s="34" t="str">
        <f t="shared" si="19"/>
        <v/>
      </c>
      <c r="P76" s="32" t="str">
        <f t="shared" si="20"/>
        <v/>
      </c>
      <c r="Q76" s="35" t="str">
        <f t="shared" si="21"/>
        <v/>
      </c>
    </row>
    <row r="77" spans="1:17">
      <c r="A77" s="61">
        <v>46235</v>
      </c>
      <c r="B77" s="1" t="s">
        <v>12</v>
      </c>
      <c r="C77" s="23" t="str">
        <f>Maestro_Ingredientes!$B$14</f>
        <v>Sal</v>
      </c>
      <c r="D77" s="30" t="str">
        <f>IF(Plan_Produccion!$B$14="","",Plan_Produccion!$B$14)</f>
        <v/>
      </c>
      <c r="E77" s="30" t="str">
        <f>IF(D77="","",D77*Maestro_Ingredientes!$G$14)</f>
        <v/>
      </c>
      <c r="F77" s="30" t="str">
        <f>IF(D77="","",D77*Maestro_Ingredientes!$H$14)</f>
        <v/>
      </c>
      <c r="G77" s="29"/>
      <c r="H77" s="36"/>
      <c r="I77" s="33" t="str">
        <f t="shared" si="15"/>
        <v/>
      </c>
      <c r="J77" s="29"/>
      <c r="K77" s="36"/>
      <c r="L77" s="33" t="str">
        <f t="shared" si="16"/>
        <v/>
      </c>
      <c r="M77" s="32" t="str">
        <f t="shared" si="17"/>
        <v/>
      </c>
      <c r="N77" s="33" t="str">
        <f t="shared" si="18"/>
        <v/>
      </c>
      <c r="O77" s="34" t="str">
        <f t="shared" si="19"/>
        <v/>
      </c>
      <c r="P77" s="32" t="str">
        <f t="shared" si="20"/>
        <v/>
      </c>
      <c r="Q77" s="35" t="str">
        <f t="shared" si="21"/>
        <v/>
      </c>
    </row>
    <row r="78" spans="1:17">
      <c r="A78" s="61">
        <v>46235</v>
      </c>
      <c r="B78" s="1" t="s">
        <v>13</v>
      </c>
      <c r="C78" s="23" t="str">
        <f>Maestro_Ingredientes!$B$15</f>
        <v>Zumo de limón</v>
      </c>
      <c r="D78" s="30" t="str">
        <f>IF(Plan_Produccion!$B$14="","",Plan_Produccion!$B$14)</f>
        <v/>
      </c>
      <c r="E78" s="30" t="str">
        <f>IF(D78="","",D78*Maestro_Ingredientes!$G$15)</f>
        <v/>
      </c>
      <c r="F78" s="30" t="str">
        <f>IF(D78="","",D78*Maestro_Ingredientes!$H$15)</f>
        <v/>
      </c>
      <c r="G78" s="29"/>
      <c r="H78" s="36"/>
      <c r="I78" s="33" t="str">
        <f t="shared" si="15"/>
        <v/>
      </c>
      <c r="J78" s="29"/>
      <c r="K78" s="36"/>
      <c r="L78" s="33" t="str">
        <f t="shared" si="16"/>
        <v/>
      </c>
      <c r="M78" s="32" t="str">
        <f t="shared" si="17"/>
        <v/>
      </c>
      <c r="N78" s="33" t="str">
        <f t="shared" si="18"/>
        <v/>
      </c>
      <c r="O78" s="34" t="str">
        <f t="shared" si="19"/>
        <v/>
      </c>
      <c r="P78" s="32" t="str">
        <f t="shared" si="20"/>
        <v/>
      </c>
      <c r="Q78" s="35" t="str">
        <f t="shared" si="21"/>
        <v/>
      </c>
    </row>
    <row r="79" spans="1:17">
      <c r="A79" s="62">
        <v>46266</v>
      </c>
      <c r="B79" s="1" t="s">
        <v>5</v>
      </c>
      <c r="C79" s="23" t="str">
        <f>Maestro_Ingredientes!$B$7</f>
        <v>Tomate pera</v>
      </c>
      <c r="D79" s="30" t="str">
        <f>IF(Plan_Produccion!$B$15="","",Plan_Produccion!$B$15)</f>
        <v/>
      </c>
      <c r="E79" s="30" t="str">
        <f>IF(D79="","",D79*Maestro_Ingredientes!$G$7)</f>
        <v/>
      </c>
      <c r="F79" s="30" t="str">
        <f>IF(D79="","",D79*Maestro_Ingredientes!$H$7)</f>
        <v/>
      </c>
      <c r="G79" s="29"/>
      <c r="H79" s="36"/>
      <c r="I79" s="33" t="str">
        <f t="shared" si="15"/>
        <v/>
      </c>
      <c r="J79" s="29"/>
      <c r="K79" s="36"/>
      <c r="L79" s="33" t="str">
        <f t="shared" si="16"/>
        <v/>
      </c>
      <c r="M79" s="32" t="str">
        <f t="shared" si="17"/>
        <v/>
      </c>
      <c r="N79" s="33" t="str">
        <f t="shared" si="18"/>
        <v/>
      </c>
      <c r="O79" s="34" t="str">
        <f t="shared" si="19"/>
        <v/>
      </c>
      <c r="P79" s="32" t="str">
        <f t="shared" si="20"/>
        <v/>
      </c>
      <c r="Q79" s="35" t="str">
        <f t="shared" si="21"/>
        <v/>
      </c>
    </row>
    <row r="80" spans="1:17">
      <c r="A80" s="62">
        <v>46266</v>
      </c>
      <c r="B80" s="1" t="s">
        <v>6</v>
      </c>
      <c r="C80" s="23" t="str">
        <f>Maestro_Ingredientes!$B$8</f>
        <v>Pepino</v>
      </c>
      <c r="D80" s="30" t="str">
        <f>IF(Plan_Produccion!$B$15="","",Plan_Produccion!$B$15)</f>
        <v/>
      </c>
      <c r="E80" s="30" t="str">
        <f>IF(D80="","",D80*Maestro_Ingredientes!$G$8)</f>
        <v/>
      </c>
      <c r="F80" s="30" t="str">
        <f>IF(D80="","",D80*Maestro_Ingredientes!$H$8)</f>
        <v/>
      </c>
      <c r="G80" s="29"/>
      <c r="H80" s="36"/>
      <c r="I80" s="33" t="str">
        <f t="shared" si="15"/>
        <v/>
      </c>
      <c r="J80" s="29"/>
      <c r="K80" s="36"/>
      <c r="L80" s="33" t="str">
        <f t="shared" si="16"/>
        <v/>
      </c>
      <c r="M80" s="32" t="str">
        <f t="shared" si="17"/>
        <v/>
      </c>
      <c r="N80" s="33" t="str">
        <f t="shared" si="18"/>
        <v/>
      </c>
      <c r="O80" s="34" t="str">
        <f t="shared" si="19"/>
        <v/>
      </c>
      <c r="P80" s="32" t="str">
        <f t="shared" si="20"/>
        <v/>
      </c>
      <c r="Q80" s="35" t="str">
        <f t="shared" si="21"/>
        <v/>
      </c>
    </row>
    <row r="81" spans="1:17">
      <c r="A81" s="62">
        <v>46266</v>
      </c>
      <c r="B81" s="1" t="s">
        <v>7</v>
      </c>
      <c r="C81" s="23" t="str">
        <f>Maestro_Ingredientes!$B$9</f>
        <v>Pimiento verde</v>
      </c>
      <c r="D81" s="30" t="str">
        <f>IF(Plan_Produccion!$B$15="","",Plan_Produccion!$B$15)</f>
        <v/>
      </c>
      <c r="E81" s="30" t="str">
        <f>IF(D81="","",D81*Maestro_Ingredientes!$G$9)</f>
        <v/>
      </c>
      <c r="F81" s="30" t="str">
        <f>IF(D81="","",D81*Maestro_Ingredientes!$H$9)</f>
        <v/>
      </c>
      <c r="G81" s="29"/>
      <c r="H81" s="36"/>
      <c r="I81" s="33" t="str">
        <f t="shared" si="15"/>
        <v/>
      </c>
      <c r="J81" s="29"/>
      <c r="K81" s="36"/>
      <c r="L81" s="33" t="str">
        <f t="shared" si="16"/>
        <v/>
      </c>
      <c r="M81" s="32" t="str">
        <f t="shared" si="17"/>
        <v/>
      </c>
      <c r="N81" s="33" t="str">
        <f t="shared" si="18"/>
        <v/>
      </c>
      <c r="O81" s="34" t="str">
        <f t="shared" si="19"/>
        <v/>
      </c>
      <c r="P81" s="32" t="str">
        <f t="shared" si="20"/>
        <v/>
      </c>
      <c r="Q81" s="35" t="str">
        <f t="shared" si="21"/>
        <v/>
      </c>
    </row>
    <row r="82" spans="1:17">
      <c r="A82" s="62">
        <v>46266</v>
      </c>
      <c r="B82" s="1" t="s">
        <v>8</v>
      </c>
      <c r="C82" s="23" t="str">
        <f>Maestro_Ingredientes!$B$10</f>
        <v>Cebolla</v>
      </c>
      <c r="D82" s="30" t="str">
        <f>IF(Plan_Produccion!$B$15="","",Plan_Produccion!$B$15)</f>
        <v/>
      </c>
      <c r="E82" s="30" t="str">
        <f>IF(D82="","",D82*Maestro_Ingredientes!$G$10)</f>
        <v/>
      </c>
      <c r="F82" s="30" t="str">
        <f>IF(D82="","",D82*Maestro_Ingredientes!$H$10)</f>
        <v/>
      </c>
      <c r="G82" s="29"/>
      <c r="H82" s="36"/>
      <c r="I82" s="33" t="str">
        <f t="shared" si="15"/>
        <v/>
      </c>
      <c r="J82" s="29"/>
      <c r="K82" s="36"/>
      <c r="L82" s="33" t="str">
        <f t="shared" si="16"/>
        <v/>
      </c>
      <c r="M82" s="32" t="str">
        <f t="shared" si="17"/>
        <v/>
      </c>
      <c r="N82" s="33" t="str">
        <f t="shared" si="18"/>
        <v/>
      </c>
      <c r="O82" s="34" t="str">
        <f t="shared" si="19"/>
        <v/>
      </c>
      <c r="P82" s="32" t="str">
        <f t="shared" si="20"/>
        <v/>
      </c>
      <c r="Q82" s="35" t="str">
        <f t="shared" si="21"/>
        <v/>
      </c>
    </row>
    <row r="83" spans="1:17">
      <c r="A83" s="62">
        <v>46266</v>
      </c>
      <c r="B83" s="1" t="s">
        <v>9</v>
      </c>
      <c r="C83" s="23" t="str">
        <f>Maestro_Ingredientes!$B$11</f>
        <v>Ajo</v>
      </c>
      <c r="D83" s="30" t="str">
        <f>IF(Plan_Produccion!$B$15="","",Plan_Produccion!$B$15)</f>
        <v/>
      </c>
      <c r="E83" s="30" t="str">
        <f>IF(D83="","",D83*Maestro_Ingredientes!$G$11)</f>
        <v/>
      </c>
      <c r="F83" s="30" t="str">
        <f>IF(D83="","",D83*Maestro_Ingredientes!$H$11)</f>
        <v/>
      </c>
      <c r="G83" s="29"/>
      <c r="H83" s="36"/>
      <c r="I83" s="33" t="str">
        <f t="shared" si="15"/>
        <v/>
      </c>
      <c r="J83" s="29"/>
      <c r="K83" s="36"/>
      <c r="L83" s="33" t="str">
        <f t="shared" si="16"/>
        <v/>
      </c>
      <c r="M83" s="32" t="str">
        <f t="shared" si="17"/>
        <v/>
      </c>
      <c r="N83" s="33" t="str">
        <f t="shared" si="18"/>
        <v/>
      </c>
      <c r="O83" s="34" t="str">
        <f t="shared" si="19"/>
        <v/>
      </c>
      <c r="P83" s="32" t="str">
        <f t="shared" si="20"/>
        <v/>
      </c>
      <c r="Q83" s="35" t="str">
        <f t="shared" si="21"/>
        <v/>
      </c>
    </row>
    <row r="84" spans="1:17">
      <c r="A84" s="62">
        <v>46266</v>
      </c>
      <c r="B84" s="1" t="s">
        <v>10</v>
      </c>
      <c r="C84" s="23" t="str">
        <f>Maestro_Ingredientes!$B$12</f>
        <v>Aceite de oliva virgen extra</v>
      </c>
      <c r="D84" s="30" t="str">
        <f>IF(Plan_Produccion!$B$15="","",Plan_Produccion!$B$15)</f>
        <v/>
      </c>
      <c r="E84" s="30" t="str">
        <f>IF(D84="","",D84*Maestro_Ingredientes!$G$12)</f>
        <v/>
      </c>
      <c r="F84" s="30" t="str">
        <f>IF(D84="","",D84*Maestro_Ingredientes!$H$12)</f>
        <v/>
      </c>
      <c r="G84" s="29"/>
      <c r="H84" s="36"/>
      <c r="I84" s="33" t="str">
        <f t="shared" si="15"/>
        <v/>
      </c>
      <c r="J84" s="29"/>
      <c r="K84" s="36"/>
      <c r="L84" s="33" t="str">
        <f t="shared" si="16"/>
        <v/>
      </c>
      <c r="M84" s="32" t="str">
        <f t="shared" si="17"/>
        <v/>
      </c>
      <c r="N84" s="33" t="str">
        <f t="shared" si="18"/>
        <v/>
      </c>
      <c r="O84" s="34" t="str">
        <f t="shared" si="19"/>
        <v/>
      </c>
      <c r="P84" s="32" t="str">
        <f t="shared" si="20"/>
        <v/>
      </c>
      <c r="Q84" s="35" t="str">
        <f t="shared" si="21"/>
        <v/>
      </c>
    </row>
    <row r="85" spans="1:17">
      <c r="A85" s="62">
        <v>46266</v>
      </c>
      <c r="B85" s="1" t="s">
        <v>11</v>
      </c>
      <c r="C85" s="23" t="str">
        <f>Maestro_Ingredientes!$B$13</f>
        <v>Vinagre de Jerez</v>
      </c>
      <c r="D85" s="30" t="str">
        <f>IF(Plan_Produccion!$B$15="","",Plan_Produccion!$B$15)</f>
        <v/>
      </c>
      <c r="E85" s="30" t="str">
        <f>IF(D85="","",D85*Maestro_Ingredientes!$G$13)</f>
        <v/>
      </c>
      <c r="F85" s="30" t="str">
        <f>IF(D85="","",D85*Maestro_Ingredientes!$H$13)</f>
        <v/>
      </c>
      <c r="G85" s="29"/>
      <c r="H85" s="36"/>
      <c r="I85" s="33" t="str">
        <f t="shared" si="15"/>
        <v/>
      </c>
      <c r="J85" s="29"/>
      <c r="K85" s="36"/>
      <c r="L85" s="33" t="str">
        <f t="shared" si="16"/>
        <v/>
      </c>
      <c r="M85" s="32" t="str">
        <f t="shared" si="17"/>
        <v/>
      </c>
      <c r="N85" s="33" t="str">
        <f t="shared" si="18"/>
        <v/>
      </c>
      <c r="O85" s="34" t="str">
        <f t="shared" si="19"/>
        <v/>
      </c>
      <c r="P85" s="32" t="str">
        <f t="shared" si="20"/>
        <v/>
      </c>
      <c r="Q85" s="35" t="str">
        <f t="shared" si="21"/>
        <v/>
      </c>
    </row>
    <row r="86" spans="1:17">
      <c r="A86" s="62">
        <v>46266</v>
      </c>
      <c r="B86" s="1" t="s">
        <v>12</v>
      </c>
      <c r="C86" s="23" t="str">
        <f>Maestro_Ingredientes!$B$14</f>
        <v>Sal</v>
      </c>
      <c r="D86" s="30" t="str">
        <f>IF(Plan_Produccion!$B$15="","",Plan_Produccion!$B$15)</f>
        <v/>
      </c>
      <c r="E86" s="30" t="str">
        <f>IF(D86="","",D86*Maestro_Ingredientes!$G$14)</f>
        <v/>
      </c>
      <c r="F86" s="30" t="str">
        <f>IF(D86="","",D86*Maestro_Ingredientes!$H$14)</f>
        <v/>
      </c>
      <c r="G86" s="29"/>
      <c r="H86" s="36"/>
      <c r="I86" s="33" t="str">
        <f t="shared" si="15"/>
        <v/>
      </c>
      <c r="J86" s="29"/>
      <c r="K86" s="36"/>
      <c r="L86" s="33" t="str">
        <f t="shared" si="16"/>
        <v/>
      </c>
      <c r="M86" s="32" t="str">
        <f t="shared" si="17"/>
        <v/>
      </c>
      <c r="N86" s="33" t="str">
        <f t="shared" si="18"/>
        <v/>
      </c>
      <c r="O86" s="34" t="str">
        <f t="shared" si="19"/>
        <v/>
      </c>
      <c r="P86" s="32" t="str">
        <f t="shared" si="20"/>
        <v/>
      </c>
      <c r="Q86" s="35" t="str">
        <f t="shared" si="21"/>
        <v/>
      </c>
    </row>
    <row r="87" spans="1:17">
      <c r="A87" s="62">
        <v>46266</v>
      </c>
      <c r="B87" s="1" t="s">
        <v>13</v>
      </c>
      <c r="C87" s="23" t="str">
        <f>Maestro_Ingredientes!$B$15</f>
        <v>Zumo de limón</v>
      </c>
      <c r="D87" s="30" t="str">
        <f>IF(Plan_Produccion!$B$15="","",Plan_Produccion!$B$15)</f>
        <v/>
      </c>
      <c r="E87" s="30" t="str">
        <f>IF(D87="","",D87*Maestro_Ingredientes!$G$15)</f>
        <v/>
      </c>
      <c r="F87" s="30" t="str">
        <f>IF(D87="","",D87*Maestro_Ingredientes!$H$15)</f>
        <v/>
      </c>
      <c r="G87" s="29"/>
      <c r="H87" s="36"/>
      <c r="I87" s="33" t="str">
        <f t="shared" si="15"/>
        <v/>
      </c>
      <c r="J87" s="29"/>
      <c r="K87" s="36"/>
      <c r="L87" s="33" t="str">
        <f t="shared" si="16"/>
        <v/>
      </c>
      <c r="M87" s="32" t="str">
        <f t="shared" si="17"/>
        <v/>
      </c>
      <c r="N87" s="33" t="str">
        <f t="shared" si="18"/>
        <v/>
      </c>
      <c r="O87" s="34" t="str">
        <f t="shared" si="19"/>
        <v/>
      </c>
      <c r="P87" s="32" t="str">
        <f t="shared" si="20"/>
        <v/>
      </c>
      <c r="Q87" s="35" t="str">
        <f t="shared" si="21"/>
        <v/>
      </c>
    </row>
    <row r="88" spans="1:17">
      <c r="A88" s="63">
        <v>46296</v>
      </c>
      <c r="B88" s="1" t="s">
        <v>5</v>
      </c>
      <c r="C88" s="23" t="str">
        <f>Maestro_Ingredientes!$B$7</f>
        <v>Tomate pera</v>
      </c>
      <c r="D88" s="30" t="str">
        <f>IF(Plan_Produccion!$B$16="","",Plan_Produccion!$B$16)</f>
        <v/>
      </c>
      <c r="E88" s="30" t="str">
        <f>IF(D88="","",D88*Maestro_Ingredientes!$G$7)</f>
        <v/>
      </c>
      <c r="F88" s="30" t="str">
        <f>IF(D88="","",D88*Maestro_Ingredientes!$H$7)</f>
        <v/>
      </c>
      <c r="G88" s="29"/>
      <c r="H88" s="36"/>
      <c r="I88" s="33" t="str">
        <f t="shared" si="15"/>
        <v/>
      </c>
      <c r="J88" s="29"/>
      <c r="K88" s="36"/>
      <c r="L88" s="33" t="str">
        <f t="shared" si="16"/>
        <v/>
      </c>
      <c r="M88" s="32" t="str">
        <f t="shared" si="17"/>
        <v/>
      </c>
      <c r="N88" s="33" t="str">
        <f t="shared" si="18"/>
        <v/>
      </c>
      <c r="O88" s="34" t="str">
        <f t="shared" si="19"/>
        <v/>
      </c>
      <c r="P88" s="32" t="str">
        <f t="shared" si="20"/>
        <v/>
      </c>
      <c r="Q88" s="35" t="str">
        <f t="shared" si="21"/>
        <v/>
      </c>
    </row>
    <row r="89" spans="1:17">
      <c r="A89" s="63">
        <v>46296</v>
      </c>
      <c r="B89" s="1" t="s">
        <v>6</v>
      </c>
      <c r="C89" s="23" t="str">
        <f>Maestro_Ingredientes!$B$8</f>
        <v>Pepino</v>
      </c>
      <c r="D89" s="30" t="str">
        <f>IF(Plan_Produccion!$B$16="","",Plan_Produccion!$B$16)</f>
        <v/>
      </c>
      <c r="E89" s="30" t="str">
        <f>IF(D89="","",D89*Maestro_Ingredientes!$G$8)</f>
        <v/>
      </c>
      <c r="F89" s="30" t="str">
        <f>IF(D89="","",D89*Maestro_Ingredientes!$H$8)</f>
        <v/>
      </c>
      <c r="G89" s="29"/>
      <c r="H89" s="36"/>
      <c r="I89" s="33" t="str">
        <f t="shared" si="15"/>
        <v/>
      </c>
      <c r="J89" s="29"/>
      <c r="K89" s="36"/>
      <c r="L89" s="33" t="str">
        <f t="shared" si="16"/>
        <v/>
      </c>
      <c r="M89" s="32" t="str">
        <f t="shared" si="17"/>
        <v/>
      </c>
      <c r="N89" s="33" t="str">
        <f t="shared" si="18"/>
        <v/>
      </c>
      <c r="O89" s="34" t="str">
        <f t="shared" si="19"/>
        <v/>
      </c>
      <c r="P89" s="32" t="str">
        <f t="shared" si="20"/>
        <v/>
      </c>
      <c r="Q89" s="35" t="str">
        <f t="shared" si="21"/>
        <v/>
      </c>
    </row>
    <row r="90" spans="1:17">
      <c r="A90" s="63">
        <v>46296</v>
      </c>
      <c r="B90" s="1" t="s">
        <v>7</v>
      </c>
      <c r="C90" s="23" t="str">
        <f>Maestro_Ingredientes!$B$9</f>
        <v>Pimiento verde</v>
      </c>
      <c r="D90" s="30" t="str">
        <f>IF(Plan_Produccion!$B$16="","",Plan_Produccion!$B$16)</f>
        <v/>
      </c>
      <c r="E90" s="30" t="str">
        <f>IF(D90="","",D90*Maestro_Ingredientes!$G$9)</f>
        <v/>
      </c>
      <c r="F90" s="30" t="str">
        <f>IF(D90="","",D90*Maestro_Ingredientes!$H$9)</f>
        <v/>
      </c>
      <c r="G90" s="29"/>
      <c r="H90" s="36"/>
      <c r="I90" s="33" t="str">
        <f t="shared" si="15"/>
        <v/>
      </c>
      <c r="J90" s="29"/>
      <c r="K90" s="36"/>
      <c r="L90" s="33" t="str">
        <f t="shared" si="16"/>
        <v/>
      </c>
      <c r="M90" s="32" t="str">
        <f t="shared" si="17"/>
        <v/>
      </c>
      <c r="N90" s="33" t="str">
        <f t="shared" si="18"/>
        <v/>
      </c>
      <c r="O90" s="34" t="str">
        <f t="shared" si="19"/>
        <v/>
      </c>
      <c r="P90" s="32" t="str">
        <f t="shared" si="20"/>
        <v/>
      </c>
      <c r="Q90" s="35" t="str">
        <f t="shared" si="21"/>
        <v/>
      </c>
    </row>
    <row r="91" spans="1:17">
      <c r="A91" s="63">
        <v>46296</v>
      </c>
      <c r="B91" s="1" t="s">
        <v>8</v>
      </c>
      <c r="C91" s="23" t="str">
        <f>Maestro_Ingredientes!$B$10</f>
        <v>Cebolla</v>
      </c>
      <c r="D91" s="30" t="str">
        <f>IF(Plan_Produccion!$B$16="","",Plan_Produccion!$B$16)</f>
        <v/>
      </c>
      <c r="E91" s="30" t="str">
        <f>IF(D91="","",D91*Maestro_Ingredientes!$G$10)</f>
        <v/>
      </c>
      <c r="F91" s="30" t="str">
        <f>IF(D91="","",D91*Maestro_Ingredientes!$H$10)</f>
        <v/>
      </c>
      <c r="G91" s="29"/>
      <c r="H91" s="36"/>
      <c r="I91" s="33" t="str">
        <f t="shared" si="15"/>
        <v/>
      </c>
      <c r="J91" s="29"/>
      <c r="K91" s="36"/>
      <c r="L91" s="33" t="str">
        <f t="shared" si="16"/>
        <v/>
      </c>
      <c r="M91" s="32" t="str">
        <f t="shared" si="17"/>
        <v/>
      </c>
      <c r="N91" s="33" t="str">
        <f t="shared" si="18"/>
        <v/>
      </c>
      <c r="O91" s="34" t="str">
        <f t="shared" si="19"/>
        <v/>
      </c>
      <c r="P91" s="32" t="str">
        <f t="shared" si="20"/>
        <v/>
      </c>
      <c r="Q91" s="35" t="str">
        <f t="shared" si="21"/>
        <v/>
      </c>
    </row>
    <row r="92" spans="1:17">
      <c r="A92" s="63">
        <v>46296</v>
      </c>
      <c r="B92" s="1" t="s">
        <v>9</v>
      </c>
      <c r="C92" s="23" t="str">
        <f>Maestro_Ingredientes!$B$11</f>
        <v>Ajo</v>
      </c>
      <c r="D92" s="30" t="str">
        <f>IF(Plan_Produccion!$B$16="","",Plan_Produccion!$B$16)</f>
        <v/>
      </c>
      <c r="E92" s="30" t="str">
        <f>IF(D92="","",D92*Maestro_Ingredientes!$G$11)</f>
        <v/>
      </c>
      <c r="F92" s="30" t="str">
        <f>IF(D92="","",D92*Maestro_Ingredientes!$H$11)</f>
        <v/>
      </c>
      <c r="G92" s="29"/>
      <c r="H92" s="36"/>
      <c r="I92" s="33" t="str">
        <f t="shared" si="15"/>
        <v/>
      </c>
      <c r="J92" s="29"/>
      <c r="K92" s="36"/>
      <c r="L92" s="33" t="str">
        <f t="shared" si="16"/>
        <v/>
      </c>
      <c r="M92" s="32" t="str">
        <f t="shared" si="17"/>
        <v/>
      </c>
      <c r="N92" s="33" t="str">
        <f t="shared" si="18"/>
        <v/>
      </c>
      <c r="O92" s="34" t="str">
        <f t="shared" si="19"/>
        <v/>
      </c>
      <c r="P92" s="32" t="str">
        <f t="shared" si="20"/>
        <v/>
      </c>
      <c r="Q92" s="35" t="str">
        <f t="shared" si="21"/>
        <v/>
      </c>
    </row>
    <row r="93" spans="1:17">
      <c r="A93" s="63">
        <v>46296</v>
      </c>
      <c r="B93" s="1" t="s">
        <v>10</v>
      </c>
      <c r="C93" s="23" t="str">
        <f>Maestro_Ingredientes!$B$12</f>
        <v>Aceite de oliva virgen extra</v>
      </c>
      <c r="D93" s="30" t="str">
        <f>IF(Plan_Produccion!$B$16="","",Plan_Produccion!$B$16)</f>
        <v/>
      </c>
      <c r="E93" s="30" t="str">
        <f>IF(D93="","",D93*Maestro_Ingredientes!$G$12)</f>
        <v/>
      </c>
      <c r="F93" s="30" t="str">
        <f>IF(D93="","",D93*Maestro_Ingredientes!$H$12)</f>
        <v/>
      </c>
      <c r="G93" s="29"/>
      <c r="H93" s="36"/>
      <c r="I93" s="33" t="str">
        <f t="shared" si="15"/>
        <v/>
      </c>
      <c r="J93" s="29"/>
      <c r="K93" s="36"/>
      <c r="L93" s="33" t="str">
        <f t="shared" si="16"/>
        <v/>
      </c>
      <c r="M93" s="32" t="str">
        <f t="shared" si="17"/>
        <v/>
      </c>
      <c r="N93" s="33" t="str">
        <f t="shared" si="18"/>
        <v/>
      </c>
      <c r="O93" s="34" t="str">
        <f t="shared" si="19"/>
        <v/>
      </c>
      <c r="P93" s="32" t="str">
        <f t="shared" si="20"/>
        <v/>
      </c>
      <c r="Q93" s="35" t="str">
        <f t="shared" si="21"/>
        <v/>
      </c>
    </row>
    <row r="94" spans="1:17">
      <c r="A94" s="63">
        <v>46296</v>
      </c>
      <c r="B94" s="1" t="s">
        <v>11</v>
      </c>
      <c r="C94" s="23" t="str">
        <f>Maestro_Ingredientes!$B$13</f>
        <v>Vinagre de Jerez</v>
      </c>
      <c r="D94" s="30" t="str">
        <f>IF(Plan_Produccion!$B$16="","",Plan_Produccion!$B$16)</f>
        <v/>
      </c>
      <c r="E94" s="30" t="str">
        <f>IF(D94="","",D94*Maestro_Ingredientes!$G$13)</f>
        <v/>
      </c>
      <c r="F94" s="30" t="str">
        <f>IF(D94="","",D94*Maestro_Ingredientes!$H$13)</f>
        <v/>
      </c>
      <c r="G94" s="29"/>
      <c r="H94" s="36"/>
      <c r="I94" s="33" t="str">
        <f t="shared" si="15"/>
        <v/>
      </c>
      <c r="J94" s="29"/>
      <c r="K94" s="36"/>
      <c r="L94" s="33" t="str">
        <f t="shared" si="16"/>
        <v/>
      </c>
      <c r="M94" s="32" t="str">
        <f t="shared" si="17"/>
        <v/>
      </c>
      <c r="N94" s="33" t="str">
        <f t="shared" si="18"/>
        <v/>
      </c>
      <c r="O94" s="34" t="str">
        <f t="shared" si="19"/>
        <v/>
      </c>
      <c r="P94" s="32" t="str">
        <f t="shared" si="20"/>
        <v/>
      </c>
      <c r="Q94" s="35" t="str">
        <f t="shared" si="21"/>
        <v/>
      </c>
    </row>
    <row r="95" spans="1:17">
      <c r="A95" s="63">
        <v>46296</v>
      </c>
      <c r="B95" s="1" t="s">
        <v>12</v>
      </c>
      <c r="C95" s="23" t="str">
        <f>Maestro_Ingredientes!$B$14</f>
        <v>Sal</v>
      </c>
      <c r="D95" s="30" t="str">
        <f>IF(Plan_Produccion!$B$16="","",Plan_Produccion!$B$16)</f>
        <v/>
      </c>
      <c r="E95" s="30" t="str">
        <f>IF(D95="","",D95*Maestro_Ingredientes!$G$14)</f>
        <v/>
      </c>
      <c r="F95" s="30" t="str">
        <f>IF(D95="","",D95*Maestro_Ingredientes!$H$14)</f>
        <v/>
      </c>
      <c r="G95" s="29"/>
      <c r="H95" s="36"/>
      <c r="I95" s="33" t="str">
        <f t="shared" si="15"/>
        <v/>
      </c>
      <c r="J95" s="29"/>
      <c r="K95" s="36"/>
      <c r="L95" s="33" t="str">
        <f t="shared" si="16"/>
        <v/>
      </c>
      <c r="M95" s="32" t="str">
        <f t="shared" si="17"/>
        <v/>
      </c>
      <c r="N95" s="33" t="str">
        <f t="shared" si="18"/>
        <v/>
      </c>
      <c r="O95" s="34" t="str">
        <f t="shared" si="19"/>
        <v/>
      </c>
      <c r="P95" s="32" t="str">
        <f t="shared" si="20"/>
        <v/>
      </c>
      <c r="Q95" s="35" t="str">
        <f t="shared" si="21"/>
        <v/>
      </c>
    </row>
    <row r="96" spans="1:17">
      <c r="A96" s="63">
        <v>46296</v>
      </c>
      <c r="B96" s="1" t="s">
        <v>13</v>
      </c>
      <c r="C96" s="23" t="str">
        <f>Maestro_Ingredientes!$B$15</f>
        <v>Zumo de limón</v>
      </c>
      <c r="D96" s="30" t="str">
        <f>IF(Plan_Produccion!$B$16="","",Plan_Produccion!$B$16)</f>
        <v/>
      </c>
      <c r="E96" s="30" t="str">
        <f>IF(D96="","",D96*Maestro_Ingredientes!$G$15)</f>
        <v/>
      </c>
      <c r="F96" s="30" t="str">
        <f>IF(D96="","",D96*Maestro_Ingredientes!$H$15)</f>
        <v/>
      </c>
      <c r="G96" s="29"/>
      <c r="H96" s="36"/>
      <c r="I96" s="33" t="str">
        <f t="shared" si="15"/>
        <v/>
      </c>
      <c r="J96" s="29"/>
      <c r="K96" s="36"/>
      <c r="L96" s="33" t="str">
        <f t="shared" si="16"/>
        <v/>
      </c>
      <c r="M96" s="32" t="str">
        <f t="shared" si="17"/>
        <v/>
      </c>
      <c r="N96" s="33" t="str">
        <f t="shared" si="18"/>
        <v/>
      </c>
      <c r="O96" s="34" t="str">
        <f t="shared" si="19"/>
        <v/>
      </c>
      <c r="P96" s="32" t="str">
        <f t="shared" si="20"/>
        <v/>
      </c>
      <c r="Q96" s="35" t="str">
        <f t="shared" si="21"/>
        <v/>
      </c>
    </row>
    <row r="97" spans="1:17">
      <c r="A97" s="64">
        <v>46327</v>
      </c>
      <c r="B97" s="1" t="s">
        <v>5</v>
      </c>
      <c r="C97" s="23" t="str">
        <f>Maestro_Ingredientes!$B$7</f>
        <v>Tomate pera</v>
      </c>
      <c r="D97" s="30" t="str">
        <f>IF(Plan_Produccion!$B$17="","",Plan_Produccion!$B$17)</f>
        <v/>
      </c>
      <c r="E97" s="30" t="str">
        <f>IF(D97="","",D97*Maestro_Ingredientes!$G$7)</f>
        <v/>
      </c>
      <c r="F97" s="30" t="str">
        <f>IF(D97="","",D97*Maestro_Ingredientes!$H$7)</f>
        <v/>
      </c>
      <c r="G97" s="29"/>
      <c r="H97" s="36"/>
      <c r="I97" s="33" t="str">
        <f t="shared" si="15"/>
        <v/>
      </c>
      <c r="J97" s="29"/>
      <c r="K97" s="36"/>
      <c r="L97" s="33" t="str">
        <f t="shared" si="16"/>
        <v/>
      </c>
      <c r="M97" s="32" t="str">
        <f t="shared" si="17"/>
        <v/>
      </c>
      <c r="N97" s="33" t="str">
        <f t="shared" si="18"/>
        <v/>
      </c>
      <c r="O97" s="34" t="str">
        <f t="shared" si="19"/>
        <v/>
      </c>
      <c r="P97" s="32" t="str">
        <f t="shared" si="20"/>
        <v/>
      </c>
      <c r="Q97" s="35" t="str">
        <f t="shared" si="21"/>
        <v/>
      </c>
    </row>
    <row r="98" spans="1:17">
      <c r="A98" s="64">
        <v>46327</v>
      </c>
      <c r="B98" s="1" t="s">
        <v>6</v>
      </c>
      <c r="C98" s="23" t="str">
        <f>Maestro_Ingredientes!$B$8</f>
        <v>Pepino</v>
      </c>
      <c r="D98" s="30" t="str">
        <f>IF(Plan_Produccion!$B$17="","",Plan_Produccion!$B$17)</f>
        <v/>
      </c>
      <c r="E98" s="30" t="str">
        <f>IF(D98="","",D98*Maestro_Ingredientes!$G$8)</f>
        <v/>
      </c>
      <c r="F98" s="30" t="str">
        <f>IF(D98="","",D98*Maestro_Ingredientes!$H$8)</f>
        <v/>
      </c>
      <c r="G98" s="29"/>
      <c r="H98" s="36"/>
      <c r="I98" s="33" t="str">
        <f t="shared" si="15"/>
        <v/>
      </c>
      <c r="J98" s="29"/>
      <c r="K98" s="36"/>
      <c r="L98" s="33" t="str">
        <f t="shared" si="16"/>
        <v/>
      </c>
      <c r="M98" s="32" t="str">
        <f t="shared" si="17"/>
        <v/>
      </c>
      <c r="N98" s="33" t="str">
        <f t="shared" si="18"/>
        <v/>
      </c>
      <c r="O98" s="34" t="str">
        <f t="shared" si="19"/>
        <v/>
      </c>
      <c r="P98" s="32" t="str">
        <f t="shared" si="20"/>
        <v/>
      </c>
      <c r="Q98" s="35" t="str">
        <f t="shared" si="21"/>
        <v/>
      </c>
    </row>
    <row r="99" spans="1:17">
      <c r="A99" s="64">
        <v>46327</v>
      </c>
      <c r="B99" s="1" t="s">
        <v>7</v>
      </c>
      <c r="C99" s="23" t="str">
        <f>Maestro_Ingredientes!$B$9</f>
        <v>Pimiento verde</v>
      </c>
      <c r="D99" s="30" t="str">
        <f>IF(Plan_Produccion!$B$17="","",Plan_Produccion!$B$17)</f>
        <v/>
      </c>
      <c r="E99" s="30" t="str">
        <f>IF(D99="","",D99*Maestro_Ingredientes!$G$9)</f>
        <v/>
      </c>
      <c r="F99" s="30" t="str">
        <f>IF(D99="","",D99*Maestro_Ingredientes!$H$9)</f>
        <v/>
      </c>
      <c r="G99" s="29"/>
      <c r="H99" s="36"/>
      <c r="I99" s="33" t="str">
        <f t="shared" si="15"/>
        <v/>
      </c>
      <c r="J99" s="29"/>
      <c r="K99" s="36"/>
      <c r="L99" s="33" t="str">
        <f t="shared" si="16"/>
        <v/>
      </c>
      <c r="M99" s="32" t="str">
        <f t="shared" si="17"/>
        <v/>
      </c>
      <c r="N99" s="33" t="str">
        <f t="shared" si="18"/>
        <v/>
      </c>
      <c r="O99" s="34" t="str">
        <f t="shared" si="19"/>
        <v/>
      </c>
      <c r="P99" s="32" t="str">
        <f t="shared" si="20"/>
        <v/>
      </c>
      <c r="Q99" s="35" t="str">
        <f t="shared" si="21"/>
        <v/>
      </c>
    </row>
    <row r="100" spans="1:17">
      <c r="A100" s="64">
        <v>46327</v>
      </c>
      <c r="B100" s="1" t="s">
        <v>8</v>
      </c>
      <c r="C100" s="23" t="str">
        <f>Maestro_Ingredientes!$B$10</f>
        <v>Cebolla</v>
      </c>
      <c r="D100" s="30" t="str">
        <f>IF(Plan_Produccion!$B$17="","",Plan_Produccion!$B$17)</f>
        <v/>
      </c>
      <c r="E100" s="30" t="str">
        <f>IF(D100="","",D100*Maestro_Ingredientes!$G$10)</f>
        <v/>
      </c>
      <c r="F100" s="30" t="str">
        <f>IF(D100="","",D100*Maestro_Ingredientes!$H$10)</f>
        <v/>
      </c>
      <c r="G100" s="29"/>
      <c r="H100" s="36"/>
      <c r="I100" s="33" t="str">
        <f t="shared" si="15"/>
        <v/>
      </c>
      <c r="J100" s="29"/>
      <c r="K100" s="36"/>
      <c r="L100" s="33" t="str">
        <f t="shared" si="16"/>
        <v/>
      </c>
      <c r="M100" s="32" t="str">
        <f t="shared" si="17"/>
        <v/>
      </c>
      <c r="N100" s="33" t="str">
        <f t="shared" si="18"/>
        <v/>
      </c>
      <c r="O100" s="34" t="str">
        <f t="shared" si="19"/>
        <v/>
      </c>
      <c r="P100" s="32" t="str">
        <f t="shared" si="20"/>
        <v/>
      </c>
      <c r="Q100" s="35" t="str">
        <f t="shared" si="21"/>
        <v/>
      </c>
    </row>
    <row r="101" spans="1:17">
      <c r="A101" s="64">
        <v>46327</v>
      </c>
      <c r="B101" s="1" t="s">
        <v>9</v>
      </c>
      <c r="C101" s="23" t="str">
        <f>Maestro_Ingredientes!$B$11</f>
        <v>Ajo</v>
      </c>
      <c r="D101" s="30" t="str">
        <f>IF(Plan_Produccion!$B$17="","",Plan_Produccion!$B$17)</f>
        <v/>
      </c>
      <c r="E101" s="30" t="str">
        <f>IF(D101="","",D101*Maestro_Ingredientes!$G$11)</f>
        <v/>
      </c>
      <c r="F101" s="30" t="str">
        <f>IF(D101="","",D101*Maestro_Ingredientes!$H$11)</f>
        <v/>
      </c>
      <c r="G101" s="29"/>
      <c r="H101" s="36"/>
      <c r="I101" s="33" t="str">
        <f t="shared" si="15"/>
        <v/>
      </c>
      <c r="J101" s="29"/>
      <c r="K101" s="36"/>
      <c r="L101" s="33" t="str">
        <f t="shared" si="16"/>
        <v/>
      </c>
      <c r="M101" s="32" t="str">
        <f t="shared" si="17"/>
        <v/>
      </c>
      <c r="N101" s="33" t="str">
        <f t="shared" si="18"/>
        <v/>
      </c>
      <c r="O101" s="34" t="str">
        <f t="shared" si="19"/>
        <v/>
      </c>
      <c r="P101" s="32" t="str">
        <f t="shared" si="20"/>
        <v/>
      </c>
      <c r="Q101" s="35" t="str">
        <f t="shared" si="21"/>
        <v/>
      </c>
    </row>
    <row r="102" spans="1:17">
      <c r="A102" s="64">
        <v>46327</v>
      </c>
      <c r="B102" s="1" t="s">
        <v>10</v>
      </c>
      <c r="C102" s="23" t="str">
        <f>Maestro_Ingredientes!$B$12</f>
        <v>Aceite de oliva virgen extra</v>
      </c>
      <c r="D102" s="30" t="str">
        <f>IF(Plan_Produccion!$B$17="","",Plan_Produccion!$B$17)</f>
        <v/>
      </c>
      <c r="E102" s="30" t="str">
        <f>IF(D102="","",D102*Maestro_Ingredientes!$G$12)</f>
        <v/>
      </c>
      <c r="F102" s="30" t="str">
        <f>IF(D102="","",D102*Maestro_Ingredientes!$H$12)</f>
        <v/>
      </c>
      <c r="G102" s="29"/>
      <c r="H102" s="36"/>
      <c r="I102" s="33" t="str">
        <f t="shared" si="15"/>
        <v/>
      </c>
      <c r="J102" s="29"/>
      <c r="K102" s="36"/>
      <c r="L102" s="33" t="str">
        <f t="shared" si="16"/>
        <v/>
      </c>
      <c r="M102" s="32" t="str">
        <f t="shared" si="17"/>
        <v/>
      </c>
      <c r="N102" s="33" t="str">
        <f t="shared" si="18"/>
        <v/>
      </c>
      <c r="O102" s="34" t="str">
        <f t="shared" si="19"/>
        <v/>
      </c>
      <c r="P102" s="32" t="str">
        <f t="shared" si="20"/>
        <v/>
      </c>
      <c r="Q102" s="35" t="str">
        <f t="shared" si="21"/>
        <v/>
      </c>
    </row>
    <row r="103" spans="1:17">
      <c r="A103" s="64">
        <v>46327</v>
      </c>
      <c r="B103" s="1" t="s">
        <v>11</v>
      </c>
      <c r="C103" s="23" t="str">
        <f>Maestro_Ingredientes!$B$13</f>
        <v>Vinagre de Jerez</v>
      </c>
      <c r="D103" s="30" t="str">
        <f>IF(Plan_Produccion!$B$17="","",Plan_Produccion!$B$17)</f>
        <v/>
      </c>
      <c r="E103" s="30" t="str">
        <f>IF(D103="","",D103*Maestro_Ingredientes!$G$13)</f>
        <v/>
      </c>
      <c r="F103" s="30" t="str">
        <f>IF(D103="","",D103*Maestro_Ingredientes!$H$13)</f>
        <v/>
      </c>
      <c r="G103" s="29"/>
      <c r="H103" s="36"/>
      <c r="I103" s="33" t="str">
        <f t="shared" ref="I103:I114" si="22">IF(OR(G103="",H103=""),"",G103*H103)</f>
        <v/>
      </c>
      <c r="J103" s="29"/>
      <c r="K103" s="36"/>
      <c r="L103" s="33" t="str">
        <f t="shared" ref="L103:L114" si="23">IF(OR(J103="",K103=""),"",J103*K103)</f>
        <v/>
      </c>
      <c r="M103" s="32" t="str">
        <f t="shared" ref="M103:M114" si="24">IF(COUNTA(G103,J103)=0,"",SUM(G103,J103))</f>
        <v/>
      </c>
      <c r="N103" s="33" t="str">
        <f t="shared" ref="N103:N114" si="25">IF(M103="","",IF(OR(AND(G103&lt;&gt;0,H103=""),AND(J103&lt;&gt;0,K103="")),"",SUM(I103,L103)))</f>
        <v/>
      </c>
      <c r="O103" s="34" t="str">
        <f t="shared" ref="O103:O114" si="26">IF(OR(M103="",M103=0,N103=""),"",N103/M103)</f>
        <v/>
      </c>
      <c r="P103" s="32" t="str">
        <f t="shared" ref="P103:P114" si="27">IF(OR(M103="",F103=""),"",M103-F103)</f>
        <v/>
      </c>
      <c r="Q103" s="35" t="str">
        <f t="shared" ref="Q103:Q114" si="28">IF(OR(M103="",F103="",F103=0),"",M103/F103)</f>
        <v/>
      </c>
    </row>
    <row r="104" spans="1:17">
      <c r="A104" s="64">
        <v>46327</v>
      </c>
      <c r="B104" s="1" t="s">
        <v>12</v>
      </c>
      <c r="C104" s="23" t="str">
        <f>Maestro_Ingredientes!$B$14</f>
        <v>Sal</v>
      </c>
      <c r="D104" s="30" t="str">
        <f>IF(Plan_Produccion!$B$17="","",Plan_Produccion!$B$17)</f>
        <v/>
      </c>
      <c r="E104" s="30" t="str">
        <f>IF(D104="","",D104*Maestro_Ingredientes!$G$14)</f>
        <v/>
      </c>
      <c r="F104" s="30" t="str">
        <f>IF(D104="","",D104*Maestro_Ingredientes!$H$14)</f>
        <v/>
      </c>
      <c r="G104" s="29"/>
      <c r="H104" s="36"/>
      <c r="I104" s="33" t="str">
        <f t="shared" si="22"/>
        <v/>
      </c>
      <c r="J104" s="29"/>
      <c r="K104" s="36"/>
      <c r="L104" s="33" t="str">
        <f t="shared" si="23"/>
        <v/>
      </c>
      <c r="M104" s="32" t="str">
        <f t="shared" si="24"/>
        <v/>
      </c>
      <c r="N104" s="33" t="str">
        <f t="shared" si="25"/>
        <v/>
      </c>
      <c r="O104" s="34" t="str">
        <f t="shared" si="26"/>
        <v/>
      </c>
      <c r="P104" s="32" t="str">
        <f t="shared" si="27"/>
        <v/>
      </c>
      <c r="Q104" s="35" t="str">
        <f t="shared" si="28"/>
        <v/>
      </c>
    </row>
    <row r="105" spans="1:17">
      <c r="A105" s="64">
        <v>46327</v>
      </c>
      <c r="B105" s="1" t="s">
        <v>13</v>
      </c>
      <c r="C105" s="23" t="str">
        <f>Maestro_Ingredientes!$B$15</f>
        <v>Zumo de limón</v>
      </c>
      <c r="D105" s="30" t="str">
        <f>IF(Plan_Produccion!$B$17="","",Plan_Produccion!$B$17)</f>
        <v/>
      </c>
      <c r="E105" s="30" t="str">
        <f>IF(D105="","",D105*Maestro_Ingredientes!$G$15)</f>
        <v/>
      </c>
      <c r="F105" s="30" t="str">
        <f>IF(D105="","",D105*Maestro_Ingredientes!$H$15)</f>
        <v/>
      </c>
      <c r="G105" s="29"/>
      <c r="H105" s="36"/>
      <c r="I105" s="33" t="str">
        <f t="shared" si="22"/>
        <v/>
      </c>
      <c r="J105" s="29"/>
      <c r="K105" s="36"/>
      <c r="L105" s="33" t="str">
        <f t="shared" si="23"/>
        <v/>
      </c>
      <c r="M105" s="32" t="str">
        <f t="shared" si="24"/>
        <v/>
      </c>
      <c r="N105" s="33" t="str">
        <f t="shared" si="25"/>
        <v/>
      </c>
      <c r="O105" s="34" t="str">
        <f t="shared" si="26"/>
        <v/>
      </c>
      <c r="P105" s="32" t="str">
        <f t="shared" si="27"/>
        <v/>
      </c>
      <c r="Q105" s="35" t="str">
        <f t="shared" si="28"/>
        <v/>
      </c>
    </row>
    <row r="106" spans="1:17">
      <c r="A106" s="65">
        <v>46357</v>
      </c>
      <c r="B106" s="1" t="s">
        <v>5</v>
      </c>
      <c r="C106" s="23" t="str">
        <f>Maestro_Ingredientes!$B$7</f>
        <v>Tomate pera</v>
      </c>
      <c r="D106" s="30" t="str">
        <f>IF(Plan_Produccion!$B$18="","",Plan_Produccion!$B$18)</f>
        <v/>
      </c>
      <c r="E106" s="30" t="str">
        <f>IF(D106="","",D106*Maestro_Ingredientes!$G$7)</f>
        <v/>
      </c>
      <c r="F106" s="30" t="str">
        <f>IF(D106="","",D106*Maestro_Ingredientes!$H$7)</f>
        <v/>
      </c>
      <c r="G106" s="29"/>
      <c r="H106" s="36"/>
      <c r="I106" s="33" t="str">
        <f t="shared" si="22"/>
        <v/>
      </c>
      <c r="J106" s="29"/>
      <c r="K106" s="36"/>
      <c r="L106" s="33" t="str">
        <f t="shared" si="23"/>
        <v/>
      </c>
      <c r="M106" s="32" t="str">
        <f t="shared" si="24"/>
        <v/>
      </c>
      <c r="N106" s="33" t="str">
        <f t="shared" si="25"/>
        <v/>
      </c>
      <c r="O106" s="34" t="str">
        <f t="shared" si="26"/>
        <v/>
      </c>
      <c r="P106" s="32" t="str">
        <f t="shared" si="27"/>
        <v/>
      </c>
      <c r="Q106" s="35" t="str">
        <f t="shared" si="28"/>
        <v/>
      </c>
    </row>
    <row r="107" spans="1:17">
      <c r="A107" s="65">
        <v>46357</v>
      </c>
      <c r="B107" s="1" t="s">
        <v>6</v>
      </c>
      <c r="C107" s="23" t="str">
        <f>Maestro_Ingredientes!$B$8</f>
        <v>Pepino</v>
      </c>
      <c r="D107" s="30" t="str">
        <f>IF(Plan_Produccion!$B$18="","",Plan_Produccion!$B$18)</f>
        <v/>
      </c>
      <c r="E107" s="30" t="str">
        <f>IF(D107="","",D107*Maestro_Ingredientes!$G$8)</f>
        <v/>
      </c>
      <c r="F107" s="30" t="str">
        <f>IF(D107="","",D107*Maestro_Ingredientes!$H$8)</f>
        <v/>
      </c>
      <c r="G107" s="29"/>
      <c r="H107" s="36"/>
      <c r="I107" s="33" t="str">
        <f t="shared" si="22"/>
        <v/>
      </c>
      <c r="J107" s="29"/>
      <c r="K107" s="36"/>
      <c r="L107" s="33" t="str">
        <f t="shared" si="23"/>
        <v/>
      </c>
      <c r="M107" s="32" t="str">
        <f t="shared" si="24"/>
        <v/>
      </c>
      <c r="N107" s="33" t="str">
        <f t="shared" si="25"/>
        <v/>
      </c>
      <c r="O107" s="34" t="str">
        <f t="shared" si="26"/>
        <v/>
      </c>
      <c r="P107" s="32" t="str">
        <f t="shared" si="27"/>
        <v/>
      </c>
      <c r="Q107" s="35" t="str">
        <f t="shared" si="28"/>
        <v/>
      </c>
    </row>
    <row r="108" spans="1:17">
      <c r="A108" s="65">
        <v>46357</v>
      </c>
      <c r="B108" s="1" t="s">
        <v>7</v>
      </c>
      <c r="C108" s="23" t="str">
        <f>Maestro_Ingredientes!$B$9</f>
        <v>Pimiento verde</v>
      </c>
      <c r="D108" s="30" t="str">
        <f>IF(Plan_Produccion!$B$18="","",Plan_Produccion!$B$18)</f>
        <v/>
      </c>
      <c r="E108" s="30" t="str">
        <f>IF(D108="","",D108*Maestro_Ingredientes!$G$9)</f>
        <v/>
      </c>
      <c r="F108" s="30" t="str">
        <f>IF(D108="","",D108*Maestro_Ingredientes!$H$9)</f>
        <v/>
      </c>
      <c r="G108" s="29"/>
      <c r="H108" s="36"/>
      <c r="I108" s="33" t="str">
        <f t="shared" si="22"/>
        <v/>
      </c>
      <c r="J108" s="29"/>
      <c r="K108" s="36"/>
      <c r="L108" s="33" t="str">
        <f t="shared" si="23"/>
        <v/>
      </c>
      <c r="M108" s="32" t="str">
        <f t="shared" si="24"/>
        <v/>
      </c>
      <c r="N108" s="33" t="str">
        <f t="shared" si="25"/>
        <v/>
      </c>
      <c r="O108" s="34" t="str">
        <f t="shared" si="26"/>
        <v/>
      </c>
      <c r="P108" s="32" t="str">
        <f t="shared" si="27"/>
        <v/>
      </c>
      <c r="Q108" s="35" t="str">
        <f t="shared" si="28"/>
        <v/>
      </c>
    </row>
    <row r="109" spans="1:17">
      <c r="A109" s="65">
        <v>46357</v>
      </c>
      <c r="B109" s="1" t="s">
        <v>8</v>
      </c>
      <c r="C109" s="23" t="str">
        <f>Maestro_Ingredientes!$B$10</f>
        <v>Cebolla</v>
      </c>
      <c r="D109" s="30" t="str">
        <f>IF(Plan_Produccion!$B$18="","",Plan_Produccion!$B$18)</f>
        <v/>
      </c>
      <c r="E109" s="30" t="str">
        <f>IF(D109="","",D109*Maestro_Ingredientes!$G$10)</f>
        <v/>
      </c>
      <c r="F109" s="30" t="str">
        <f>IF(D109="","",D109*Maestro_Ingredientes!$H$10)</f>
        <v/>
      </c>
      <c r="G109" s="29"/>
      <c r="H109" s="36"/>
      <c r="I109" s="33" t="str">
        <f t="shared" si="22"/>
        <v/>
      </c>
      <c r="J109" s="29"/>
      <c r="K109" s="36"/>
      <c r="L109" s="33" t="str">
        <f t="shared" si="23"/>
        <v/>
      </c>
      <c r="M109" s="32" t="str">
        <f t="shared" si="24"/>
        <v/>
      </c>
      <c r="N109" s="33" t="str">
        <f t="shared" si="25"/>
        <v/>
      </c>
      <c r="O109" s="34" t="str">
        <f t="shared" si="26"/>
        <v/>
      </c>
      <c r="P109" s="32" t="str">
        <f t="shared" si="27"/>
        <v/>
      </c>
      <c r="Q109" s="35" t="str">
        <f t="shared" si="28"/>
        <v/>
      </c>
    </row>
    <row r="110" spans="1:17">
      <c r="A110" s="65">
        <v>46357</v>
      </c>
      <c r="B110" s="1" t="s">
        <v>9</v>
      </c>
      <c r="C110" s="23" t="str">
        <f>Maestro_Ingredientes!$B$11</f>
        <v>Ajo</v>
      </c>
      <c r="D110" s="30" t="str">
        <f>IF(Plan_Produccion!$B$18="","",Plan_Produccion!$B$18)</f>
        <v/>
      </c>
      <c r="E110" s="30" t="str">
        <f>IF(D110="","",D110*Maestro_Ingredientes!$G$11)</f>
        <v/>
      </c>
      <c r="F110" s="30" t="str">
        <f>IF(D110="","",D110*Maestro_Ingredientes!$H$11)</f>
        <v/>
      </c>
      <c r="G110" s="29"/>
      <c r="H110" s="36"/>
      <c r="I110" s="33" t="str">
        <f t="shared" si="22"/>
        <v/>
      </c>
      <c r="J110" s="29"/>
      <c r="K110" s="36"/>
      <c r="L110" s="33" t="str">
        <f t="shared" si="23"/>
        <v/>
      </c>
      <c r="M110" s="32" t="str">
        <f t="shared" si="24"/>
        <v/>
      </c>
      <c r="N110" s="33" t="str">
        <f t="shared" si="25"/>
        <v/>
      </c>
      <c r="O110" s="34" t="str">
        <f t="shared" si="26"/>
        <v/>
      </c>
      <c r="P110" s="32" t="str">
        <f t="shared" si="27"/>
        <v/>
      </c>
      <c r="Q110" s="35" t="str">
        <f t="shared" si="28"/>
        <v/>
      </c>
    </row>
    <row r="111" spans="1:17">
      <c r="A111" s="65">
        <v>46357</v>
      </c>
      <c r="B111" s="1" t="s">
        <v>10</v>
      </c>
      <c r="C111" s="23" t="str">
        <f>Maestro_Ingredientes!$B$12</f>
        <v>Aceite de oliva virgen extra</v>
      </c>
      <c r="D111" s="30" t="str">
        <f>IF(Plan_Produccion!$B$18="","",Plan_Produccion!$B$18)</f>
        <v/>
      </c>
      <c r="E111" s="30" t="str">
        <f>IF(D111="","",D111*Maestro_Ingredientes!$G$12)</f>
        <v/>
      </c>
      <c r="F111" s="30" t="str">
        <f>IF(D111="","",D111*Maestro_Ingredientes!$H$12)</f>
        <v/>
      </c>
      <c r="G111" s="29"/>
      <c r="H111" s="36"/>
      <c r="I111" s="33" t="str">
        <f t="shared" si="22"/>
        <v/>
      </c>
      <c r="J111" s="29"/>
      <c r="K111" s="36"/>
      <c r="L111" s="33" t="str">
        <f t="shared" si="23"/>
        <v/>
      </c>
      <c r="M111" s="32" t="str">
        <f t="shared" si="24"/>
        <v/>
      </c>
      <c r="N111" s="33" t="str">
        <f t="shared" si="25"/>
        <v/>
      </c>
      <c r="O111" s="34" t="str">
        <f t="shared" si="26"/>
        <v/>
      </c>
      <c r="P111" s="32" t="str">
        <f t="shared" si="27"/>
        <v/>
      </c>
      <c r="Q111" s="35" t="str">
        <f t="shared" si="28"/>
        <v/>
      </c>
    </row>
    <row r="112" spans="1:17">
      <c r="A112" s="65">
        <v>46357</v>
      </c>
      <c r="B112" s="1" t="s">
        <v>11</v>
      </c>
      <c r="C112" s="23" t="str">
        <f>Maestro_Ingredientes!$B$13</f>
        <v>Vinagre de Jerez</v>
      </c>
      <c r="D112" s="30" t="str">
        <f>IF(Plan_Produccion!$B$18="","",Plan_Produccion!$B$18)</f>
        <v/>
      </c>
      <c r="E112" s="30" t="str">
        <f>IF(D112="","",D112*Maestro_Ingredientes!$G$13)</f>
        <v/>
      </c>
      <c r="F112" s="30" t="str">
        <f>IF(D112="","",D112*Maestro_Ingredientes!$H$13)</f>
        <v/>
      </c>
      <c r="G112" s="29"/>
      <c r="H112" s="36"/>
      <c r="I112" s="33" t="str">
        <f t="shared" si="22"/>
        <v/>
      </c>
      <c r="J112" s="29"/>
      <c r="K112" s="36"/>
      <c r="L112" s="33" t="str">
        <f t="shared" si="23"/>
        <v/>
      </c>
      <c r="M112" s="32" t="str">
        <f t="shared" si="24"/>
        <v/>
      </c>
      <c r="N112" s="33" t="str">
        <f t="shared" si="25"/>
        <v/>
      </c>
      <c r="O112" s="34" t="str">
        <f t="shared" si="26"/>
        <v/>
      </c>
      <c r="P112" s="32" t="str">
        <f t="shared" si="27"/>
        <v/>
      </c>
      <c r="Q112" s="35" t="str">
        <f t="shared" si="28"/>
        <v/>
      </c>
    </row>
    <row r="113" spans="1:17">
      <c r="A113" s="65">
        <v>46357</v>
      </c>
      <c r="B113" s="1" t="s">
        <v>12</v>
      </c>
      <c r="C113" s="23" t="str">
        <f>Maestro_Ingredientes!$B$14</f>
        <v>Sal</v>
      </c>
      <c r="D113" s="30" t="str">
        <f>IF(Plan_Produccion!$B$18="","",Plan_Produccion!$B$18)</f>
        <v/>
      </c>
      <c r="E113" s="30" t="str">
        <f>IF(D113="","",D113*Maestro_Ingredientes!$G$14)</f>
        <v/>
      </c>
      <c r="F113" s="30" t="str">
        <f>IF(D113="","",D113*Maestro_Ingredientes!$H$14)</f>
        <v/>
      </c>
      <c r="G113" s="29"/>
      <c r="H113" s="36"/>
      <c r="I113" s="33" t="str">
        <f t="shared" si="22"/>
        <v/>
      </c>
      <c r="J113" s="29"/>
      <c r="K113" s="36"/>
      <c r="L113" s="33" t="str">
        <f t="shared" si="23"/>
        <v/>
      </c>
      <c r="M113" s="32" t="str">
        <f t="shared" si="24"/>
        <v/>
      </c>
      <c r="N113" s="33" t="str">
        <f t="shared" si="25"/>
        <v/>
      </c>
      <c r="O113" s="34" t="str">
        <f t="shared" si="26"/>
        <v/>
      </c>
      <c r="P113" s="32" t="str">
        <f t="shared" si="27"/>
        <v/>
      </c>
      <c r="Q113" s="35" t="str">
        <f t="shared" si="28"/>
        <v/>
      </c>
    </row>
    <row r="114" spans="1:17">
      <c r="A114" s="65">
        <v>46357</v>
      </c>
      <c r="B114" s="1" t="s">
        <v>13</v>
      </c>
      <c r="C114" s="23" t="str">
        <f>Maestro_Ingredientes!$B$15</f>
        <v>Zumo de limón</v>
      </c>
      <c r="D114" s="30" t="str">
        <f>IF(Plan_Produccion!$B$18="","",Plan_Produccion!$B$18)</f>
        <v/>
      </c>
      <c r="E114" s="30" t="str">
        <f>IF(D114="","",D114*Maestro_Ingredientes!$G$15)</f>
        <v/>
      </c>
      <c r="F114" s="30" t="str">
        <f>IF(D114="","",D114*Maestro_Ingredientes!$H$15)</f>
        <v/>
      </c>
      <c r="G114" s="29"/>
      <c r="H114" s="36"/>
      <c r="I114" s="33" t="str">
        <f t="shared" si="22"/>
        <v/>
      </c>
      <c r="J114" s="29"/>
      <c r="K114" s="36"/>
      <c r="L114" s="33" t="str">
        <f t="shared" si="23"/>
        <v/>
      </c>
      <c r="M114" s="32" t="str">
        <f t="shared" si="24"/>
        <v/>
      </c>
      <c r="N114" s="33" t="str">
        <f t="shared" si="25"/>
        <v/>
      </c>
      <c r="O114" s="34" t="str">
        <f t="shared" si="26"/>
        <v/>
      </c>
      <c r="P114" s="32" t="str">
        <f t="shared" si="27"/>
        <v/>
      </c>
      <c r="Q114" s="35" t="str">
        <f t="shared" si="28"/>
        <v/>
      </c>
    </row>
    <row r="115" spans="1:17">
      <c r="A115" s="1"/>
      <c r="B115" s="1"/>
      <c r="C115" s="1"/>
      <c r="D115" s="1"/>
      <c r="E115" s="1"/>
      <c r="F115" s="1"/>
      <c r="G115" s="1"/>
      <c r="H115" s="1"/>
      <c r="I115" s="1"/>
      <c r="J115" s="1"/>
      <c r="K115" s="1"/>
      <c r="L115" s="1"/>
      <c r="M115" s="1"/>
      <c r="N115" s="1"/>
      <c r="O115" s="1"/>
      <c r="P115" s="1"/>
      <c r="Q115" s="1"/>
    </row>
    <row r="116" spans="1:17">
      <c r="A116" s="37" t="s">
        <v>118</v>
      </c>
      <c r="B116" s="37"/>
      <c r="C116" s="38" t="s">
        <v>119</v>
      </c>
      <c r="D116" s="38"/>
      <c r="E116" s="39" t="s">
        <v>120</v>
      </c>
      <c r="F116" s="39"/>
      <c r="G116" s="40" t="s">
        <v>121</v>
      </c>
      <c r="H116" s="40"/>
      <c r="I116" s="1"/>
      <c r="J116" s="1"/>
      <c r="K116" s="1"/>
      <c r="L116" s="1"/>
      <c r="M116" s="1"/>
      <c r="N116" s="1"/>
      <c r="O116" s="1"/>
      <c r="P116" s="1"/>
      <c r="Q116"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7365D"/>
  </sheetPr>
  <dimension ref="A1:X75"/>
  <sheetViews>
    <sheetView showGridLines="0" workbookViewId="0">
      <pane ySplit="6" topLeftCell="A7" activePane="bottomLeft" state="frozen"/>
      <selection pane="bottomLeft"/>
    </sheetView>
  </sheetViews>
  <sheetFormatPr baseColWidth="10" defaultColWidth="8.83203125" defaultRowHeight="14"/>
  <cols>
    <col min="1" max="1" width="30" customWidth="1"/>
    <col min="2" max="2" width="18" customWidth="1"/>
    <col min="3" max="3" width="19" customWidth="1"/>
    <col min="4" max="5" width="18" customWidth="1"/>
    <col min="6" max="6" width="16" customWidth="1"/>
    <col min="7" max="7" width="18" customWidth="1"/>
    <col min="8" max="8" width="20" customWidth="1"/>
    <col min="9" max="11" width="18" customWidth="1"/>
    <col min="12" max="12" width="23" customWidth="1"/>
    <col min="13" max="13" width="18" customWidth="1"/>
    <col min="14" max="15" width="20" customWidth="1"/>
    <col min="16" max="16" width="35" customWidth="1"/>
    <col min="17" max="24" width="13" customWidth="1"/>
  </cols>
  <sheetData>
    <row r="1" spans="1:24">
      <c r="A1" s="1"/>
      <c r="B1" s="1"/>
      <c r="C1" s="1"/>
      <c r="D1" s="1"/>
      <c r="E1" s="1"/>
      <c r="F1" s="1"/>
      <c r="G1" s="1"/>
      <c r="H1" s="1"/>
      <c r="I1" s="1"/>
      <c r="J1" s="1"/>
      <c r="K1" s="1"/>
      <c r="L1" s="1"/>
      <c r="M1" s="1"/>
      <c r="N1" s="1"/>
      <c r="O1" s="1"/>
      <c r="P1" s="1"/>
      <c r="Q1" s="1"/>
      <c r="R1" s="1"/>
      <c r="S1" s="1"/>
      <c r="T1" s="1"/>
      <c r="U1" s="1"/>
      <c r="V1" s="1"/>
      <c r="W1" s="1"/>
      <c r="X1" s="1"/>
    </row>
    <row r="2" spans="1:24" ht="19">
      <c r="A2" s="2" t="s">
        <v>122</v>
      </c>
      <c r="B2" s="1"/>
      <c r="C2" s="1"/>
      <c r="D2" s="1"/>
      <c r="E2" s="1"/>
      <c r="F2" s="1"/>
      <c r="G2" s="1"/>
      <c r="H2" s="1"/>
      <c r="I2" s="1"/>
      <c r="J2" s="1"/>
      <c r="K2" s="1"/>
      <c r="L2" s="1"/>
      <c r="M2" s="1"/>
      <c r="N2" s="1"/>
      <c r="O2" s="1"/>
      <c r="P2" s="1"/>
      <c r="Q2" s="1"/>
      <c r="R2" s="1"/>
      <c r="S2" s="1"/>
      <c r="T2" s="1"/>
      <c r="U2" s="1"/>
      <c r="V2" s="1"/>
      <c r="W2" s="1"/>
      <c r="X2" s="1"/>
    </row>
    <row r="3" spans="1:24">
      <c r="A3" s="3" t="s">
        <v>15</v>
      </c>
      <c r="B3" s="1"/>
      <c r="C3" s="1"/>
      <c r="D3" s="1"/>
      <c r="E3" s="1"/>
      <c r="F3" s="1"/>
      <c r="G3" s="1"/>
      <c r="H3" s="1"/>
      <c r="I3" s="1"/>
      <c r="J3" s="1"/>
      <c r="K3" s="1"/>
      <c r="L3" s="1"/>
      <c r="M3" s="1"/>
      <c r="N3" s="1"/>
      <c r="O3" s="1"/>
      <c r="P3" s="1"/>
      <c r="Q3" s="1"/>
      <c r="R3" s="1"/>
      <c r="S3" s="1"/>
      <c r="T3" s="1"/>
      <c r="U3" s="1"/>
      <c r="V3" s="1"/>
      <c r="W3" s="1"/>
      <c r="X3" s="1"/>
    </row>
    <row r="4" spans="1:24">
      <c r="A4" s="4"/>
      <c r="B4" s="4"/>
      <c r="C4" s="4"/>
      <c r="D4" s="4"/>
      <c r="E4" s="4"/>
      <c r="F4" s="4"/>
      <c r="G4" s="4"/>
      <c r="H4" s="4"/>
      <c r="I4" s="4"/>
      <c r="J4" s="4"/>
      <c r="K4" s="4"/>
      <c r="L4" s="4"/>
      <c r="M4" s="4"/>
      <c r="N4" s="4"/>
      <c r="O4" s="4"/>
      <c r="P4" s="4"/>
      <c r="Q4" s="4"/>
      <c r="R4" s="4"/>
      <c r="S4" s="4"/>
      <c r="T4" s="4"/>
      <c r="U4" s="4"/>
      <c r="V4" s="4"/>
      <c r="W4" s="4"/>
      <c r="X4" s="4"/>
    </row>
    <row r="5" spans="1:24">
      <c r="A5" s="1"/>
      <c r="B5" s="1"/>
      <c r="C5" s="1"/>
      <c r="D5" s="1"/>
      <c r="E5" s="1"/>
      <c r="F5" s="1"/>
      <c r="G5" s="1"/>
      <c r="H5" s="1"/>
      <c r="I5" s="1"/>
      <c r="J5" s="1"/>
      <c r="K5" s="1"/>
      <c r="L5" s="1"/>
      <c r="M5" s="1"/>
      <c r="N5" s="1"/>
      <c r="O5" s="1"/>
      <c r="P5" s="1"/>
      <c r="Q5" s="1"/>
      <c r="R5" s="1"/>
      <c r="S5" s="1"/>
      <c r="T5" s="1"/>
      <c r="U5" s="1"/>
      <c r="V5" s="1"/>
      <c r="W5" s="1"/>
      <c r="X5" s="1"/>
    </row>
    <row r="6" spans="1:24">
      <c r="A6" s="19" t="s">
        <v>123</v>
      </c>
      <c r="B6" s="19"/>
      <c r="C6" s="19"/>
      <c r="D6" s="19"/>
      <c r="E6" s="19"/>
      <c r="F6" s="19"/>
      <c r="G6" s="19"/>
      <c r="H6" s="19"/>
      <c r="I6" s="19"/>
      <c r="J6" s="19"/>
      <c r="K6" s="19"/>
      <c r="L6" s="19"/>
      <c r="M6" s="1"/>
      <c r="N6" s="1"/>
      <c r="O6" s="1"/>
      <c r="P6" s="1"/>
      <c r="Q6" s="1"/>
      <c r="R6" s="27" t="s">
        <v>124</v>
      </c>
      <c r="S6" s="27"/>
      <c r="T6" s="27"/>
      <c r="U6" s="27"/>
      <c r="V6" s="27"/>
      <c r="W6" s="27"/>
      <c r="X6" s="27"/>
    </row>
    <row r="7" spans="1:24">
      <c r="A7" s="1"/>
      <c r="B7" s="1"/>
      <c r="C7" s="1"/>
      <c r="D7" s="1"/>
      <c r="E7" s="1"/>
      <c r="F7" s="1"/>
      <c r="G7" s="1"/>
      <c r="H7" s="1"/>
      <c r="I7" s="1"/>
      <c r="J7" s="1"/>
      <c r="K7" s="1"/>
      <c r="L7" s="1"/>
      <c r="M7" s="1"/>
      <c r="N7" s="1"/>
      <c r="O7" s="1"/>
      <c r="P7" s="1"/>
      <c r="Q7" s="1"/>
      <c r="R7" s="1"/>
      <c r="S7" s="1"/>
      <c r="T7" s="1"/>
      <c r="U7" s="1"/>
      <c r="V7" s="1"/>
      <c r="W7" s="1"/>
      <c r="X7" s="1"/>
    </row>
    <row r="8" spans="1:24">
      <c r="A8" s="1" t="s">
        <v>125</v>
      </c>
      <c r="B8" s="31">
        <f>SUM(Plan_Produccion!$B$7:$B$18)</f>
        <v>100000</v>
      </c>
      <c r="C8" s="1"/>
      <c r="D8" s="8" t="s">
        <v>126</v>
      </c>
      <c r="E8" s="10" t="s">
        <v>38</v>
      </c>
      <c r="F8" s="1"/>
      <c r="G8" s="1"/>
      <c r="H8" s="1"/>
      <c r="I8" s="1"/>
      <c r="J8" s="1"/>
      <c r="K8" s="1"/>
      <c r="L8" s="1"/>
      <c r="M8" s="1"/>
      <c r="N8" s="1"/>
      <c r="O8" s="1"/>
      <c r="P8" s="1"/>
      <c r="Q8" s="1"/>
      <c r="R8" s="1"/>
      <c r="S8" s="1"/>
      <c r="T8" s="1"/>
      <c r="U8" s="1"/>
      <c r="V8" s="1"/>
      <c r="W8" s="1"/>
      <c r="X8" s="1"/>
    </row>
    <row r="9" spans="1:24">
      <c r="A9" s="1" t="s">
        <v>127</v>
      </c>
      <c r="B9" s="31">
        <f>SUM(Plan_Produccion!$C$7:$C$18)</f>
        <v>100000</v>
      </c>
      <c r="C9" s="1"/>
      <c r="D9" s="1" t="s">
        <v>42</v>
      </c>
      <c r="E9" s="21">
        <f>Supuestos!$B$7</f>
        <v>2026</v>
      </c>
      <c r="F9" s="1"/>
      <c r="G9" s="1"/>
      <c r="H9" s="1"/>
      <c r="I9" s="1"/>
      <c r="J9" s="1"/>
      <c r="K9" s="1"/>
      <c r="L9" s="1"/>
      <c r="M9" s="1"/>
      <c r="N9" s="1"/>
      <c r="O9" s="1"/>
      <c r="P9" s="1"/>
      <c r="Q9" s="1"/>
      <c r="R9" s="1"/>
      <c r="S9" s="1"/>
      <c r="T9" s="1"/>
      <c r="U9" s="1"/>
      <c r="V9" s="1"/>
      <c r="W9" s="1"/>
      <c r="X9" s="1"/>
    </row>
    <row r="10" spans="1:24">
      <c r="A10" s="1" t="s">
        <v>128</v>
      </c>
      <c r="B10" s="31">
        <f>SUM(Plan_Produccion!$D$7:$D$18)</f>
        <v>109651.13049755093</v>
      </c>
      <c r="C10" s="1"/>
      <c r="D10" s="1" t="s">
        <v>129</v>
      </c>
      <c r="E10" s="43">
        <f>Supuestos!$B$8</f>
        <v>1200000</v>
      </c>
      <c r="F10" s="1"/>
      <c r="G10" s="1"/>
      <c r="H10" s="1"/>
      <c r="I10" s="1"/>
      <c r="J10" s="1"/>
      <c r="K10" s="1"/>
      <c r="L10" s="1"/>
      <c r="M10" s="1"/>
      <c r="N10" s="1"/>
      <c r="O10" s="1"/>
      <c r="P10" s="1"/>
      <c r="Q10" s="1"/>
      <c r="R10" s="1"/>
      <c r="S10" s="1"/>
      <c r="T10" s="1"/>
      <c r="U10" s="1"/>
      <c r="V10" s="1"/>
      <c r="W10" s="1"/>
      <c r="X10" s="1"/>
    </row>
    <row r="11" spans="1:24">
      <c r="A11" s="1" t="s">
        <v>130</v>
      </c>
      <c r="B11" s="31">
        <f>SUM(Plan_Compras!$M$7:$M$114)</f>
        <v>109651.13049755096</v>
      </c>
      <c r="C11" s="1"/>
      <c r="D11" s="1" t="s">
        <v>131</v>
      </c>
      <c r="E11" s="44">
        <f>Supuestos!$B$13</f>
        <v>0.01</v>
      </c>
      <c r="F11" s="1"/>
      <c r="G11" s="1"/>
      <c r="H11" s="1"/>
      <c r="I11" s="1"/>
      <c r="J11" s="1"/>
      <c r="K11" s="1"/>
      <c r="L11" s="1"/>
      <c r="M11" s="1"/>
      <c r="N11" s="1"/>
      <c r="O11" s="1"/>
      <c r="P11" s="1"/>
      <c r="Q11" s="1"/>
      <c r="R11" s="1"/>
      <c r="S11" s="1"/>
      <c r="T11" s="1"/>
      <c r="U11" s="1"/>
      <c r="V11" s="1"/>
      <c r="W11" s="1"/>
      <c r="X11" s="1"/>
    </row>
    <row r="12" spans="1:24">
      <c r="A12" s="1" t="s">
        <v>101</v>
      </c>
      <c r="B12" s="31">
        <f>SUM(Plan_Produccion!$E$7:$E$18)</f>
        <v>9651.1304975509265</v>
      </c>
      <c r="C12" s="1"/>
      <c r="D12" s="1" t="s">
        <v>92</v>
      </c>
      <c r="E12" s="21" t="str">
        <f>Maestro_Ingredientes!$B$21</f>
        <v>OK</v>
      </c>
      <c r="F12" s="1"/>
      <c r="G12" s="1"/>
      <c r="H12" s="1"/>
      <c r="I12" s="1"/>
      <c r="J12" s="1"/>
      <c r="K12" s="1"/>
      <c r="L12" s="1"/>
      <c r="M12" s="1"/>
      <c r="N12" s="1"/>
      <c r="O12" s="1"/>
      <c r="P12" s="1"/>
      <c r="Q12" s="1"/>
      <c r="R12" s="1"/>
      <c r="S12" s="1"/>
      <c r="T12" s="1"/>
      <c r="U12" s="1"/>
      <c r="V12" s="1"/>
      <c r="W12" s="1"/>
      <c r="X12" s="1"/>
    </row>
    <row r="13" spans="1:24">
      <c r="A13" s="1" t="s">
        <v>132</v>
      </c>
      <c r="B13" s="31" t="str">
        <f>IF(COUNT($F$50:$F$61)=0,"",SUM($F$50:$F$61))</f>
        <v/>
      </c>
      <c r="C13" s="1"/>
      <c r="D13" s="1"/>
      <c r="E13" s="1"/>
      <c r="F13" s="1"/>
      <c r="G13" s="1"/>
      <c r="H13" s="1"/>
      <c r="I13" s="1"/>
      <c r="J13" s="1"/>
      <c r="K13" s="1"/>
      <c r="L13" s="1"/>
      <c r="M13" s="1"/>
      <c r="N13" s="1"/>
      <c r="O13" s="1"/>
      <c r="P13" s="1"/>
      <c r="Q13" s="1"/>
      <c r="R13" s="1"/>
      <c r="S13" s="1"/>
      <c r="T13" s="1"/>
      <c r="U13" s="1"/>
      <c r="V13" s="1"/>
      <c r="W13" s="1"/>
      <c r="X13" s="1"/>
    </row>
    <row r="14" spans="1:24">
      <c r="A14" s="1" t="s">
        <v>133</v>
      </c>
      <c r="B14" s="26">
        <f>IF(B10=0,"",B9/B10)</f>
        <v>0.91198330146020257</v>
      </c>
      <c r="C14" s="1"/>
      <c r="D14" s="1"/>
      <c r="E14" s="1"/>
      <c r="F14" s="1"/>
      <c r="G14" s="1"/>
      <c r="H14" s="1"/>
      <c r="I14" s="1"/>
      <c r="J14" s="1"/>
      <c r="K14" s="1"/>
      <c r="L14" s="1"/>
      <c r="M14" s="1"/>
      <c r="N14" s="1"/>
      <c r="O14" s="1"/>
      <c r="P14" s="1"/>
      <c r="Q14" s="1"/>
      <c r="R14" s="1"/>
      <c r="S14" s="1"/>
      <c r="T14" s="1"/>
      <c r="U14" s="1"/>
      <c r="V14" s="1"/>
      <c r="W14" s="1"/>
      <c r="X14" s="1"/>
    </row>
    <row r="15" spans="1:24">
      <c r="A15" s="1" t="s">
        <v>134</v>
      </c>
      <c r="B15" s="41" t="str">
        <f>IF(COUNT(Plan_Compras!$N$7:$N$114)=0,"",SUM(Plan_Compras!$N$7:$N$114))</f>
        <v/>
      </c>
      <c r="C15" s="1"/>
      <c r="D15" s="1"/>
      <c r="E15" s="1"/>
      <c r="F15" s="1"/>
      <c r="G15" s="1"/>
      <c r="H15" s="1"/>
      <c r="I15" s="1"/>
      <c r="J15" s="1"/>
      <c r="K15" s="1"/>
      <c r="L15" s="1"/>
      <c r="M15" s="1"/>
      <c r="N15" s="1"/>
      <c r="O15" s="1"/>
      <c r="P15" s="1"/>
      <c r="Q15" s="1"/>
      <c r="R15" s="1"/>
      <c r="S15" s="1"/>
      <c r="T15" s="1"/>
      <c r="U15" s="1"/>
      <c r="V15" s="1"/>
      <c r="W15" s="1"/>
      <c r="X15" s="1"/>
    </row>
    <row r="16" spans="1:24">
      <c r="A16" s="1" t="s">
        <v>117</v>
      </c>
      <c r="B16" s="26">
        <f>IF(B10=0,"",B11/B10)</f>
        <v>1.0000000000000002</v>
      </c>
      <c r="C16" s="1"/>
      <c r="D16" s="1"/>
      <c r="E16" s="1"/>
      <c r="F16" s="1"/>
      <c r="G16" s="1"/>
      <c r="H16" s="1"/>
      <c r="I16" s="1"/>
      <c r="J16" s="1"/>
      <c r="K16" s="1"/>
      <c r="L16" s="1"/>
      <c r="M16" s="1"/>
      <c r="N16" s="1"/>
      <c r="O16" s="1"/>
      <c r="P16" s="1"/>
      <c r="Q16" s="1"/>
      <c r="R16" s="1"/>
      <c r="S16" s="1"/>
      <c r="T16" s="1"/>
      <c r="U16" s="1"/>
      <c r="V16" s="1"/>
      <c r="W16" s="1"/>
      <c r="X16" s="1"/>
    </row>
    <row r="17" spans="1:24" ht="30" customHeight="1">
      <c r="A17" s="1" t="s">
        <v>135</v>
      </c>
      <c r="B17" s="53" t="str">
        <f>IF(COUNT(Plan_Compras!$P$7:$P$114)=0,"",CHOOSE(MONTH(INDEX(Plan_Compras!$A$7:$A$114,MATCH(IF(MAX(Plan_Compras!$P$7:$P$114)&gt;=-MIN(Plan_Compras!$P$7:$P$114),MAX(Plan_Compras!$P$7:$P$114),MIN(Plan_Compras!$P$7:$P$114)),Plan_Compras!$P$7:$P$114,0))),"Enero","Febrero","Marzo","Abril","Mayo","Junio","Julio","Agosto","Septiembre","Octubre","Noviembre","Diciembre")&amp;" | "&amp;INDEX(Plan_Compras!$C$7:$C$114,MATCH(IF(MAX(Plan_Compras!$P$7:$P$114)&gt;=-MIN(Plan_Compras!$P$7:$P$114),MAX(Plan_Compras!$P$7:$P$114),MIN(Plan_Compras!$P$7:$P$114)),Plan_Compras!$P$7:$P$114,0))&amp;" | "&amp;TEXT(IF(MAX(Plan_Compras!$P$7:$P$114)&gt;=-MIN(Plan_Compras!$P$7:$P$114),MAX(Plan_Compras!$P$7:$P$114),MIN(Plan_Compras!$P$7:$P$114)),"+#,##0;-#,##0;+0")&amp;" kg")</f>
        <v>Enero | Tomate pera | +0 kg</v>
      </c>
      <c r="C17" s="1"/>
      <c r="D17" s="1"/>
      <c r="E17" s="1"/>
      <c r="F17" s="1"/>
      <c r="G17" s="1"/>
      <c r="H17" s="1"/>
      <c r="I17" s="1"/>
      <c r="J17" s="1"/>
      <c r="K17" s="1"/>
      <c r="L17" s="1"/>
      <c r="M17" s="1"/>
      <c r="N17" s="1"/>
      <c r="O17" s="1"/>
      <c r="P17" s="1"/>
      <c r="Q17" s="1"/>
      <c r="R17" s="1"/>
      <c r="S17" s="1"/>
      <c r="T17" s="1"/>
      <c r="U17" s="1"/>
      <c r="V17" s="1"/>
      <c r="W17" s="1"/>
      <c r="X17" s="1"/>
    </row>
    <row r="18" spans="1:24">
      <c r="A18" s="1" t="s">
        <v>136</v>
      </c>
      <c r="B18" s="21" t="str">
        <f>IF(COUNT($D$67:$D$75)=0,"",INDEX($A$67:$A$75,MATCH(MAX($D$67:$D$75),$D$67:$D$75,0)))</f>
        <v/>
      </c>
      <c r="C18" s="1"/>
      <c r="D18" s="1"/>
      <c r="E18" s="1"/>
      <c r="F18" s="1"/>
      <c r="G18" s="1"/>
      <c r="H18" s="1"/>
      <c r="I18" s="1"/>
      <c r="J18" s="1"/>
      <c r="K18" s="1"/>
      <c r="L18" s="1"/>
      <c r="M18" s="1"/>
      <c r="N18" s="1"/>
      <c r="O18" s="1"/>
      <c r="P18" s="1"/>
      <c r="Q18" s="1"/>
      <c r="R18" s="1"/>
      <c r="S18" s="1"/>
      <c r="T18" s="1"/>
      <c r="U18" s="1"/>
      <c r="V18" s="1"/>
      <c r="W18" s="1"/>
      <c r="X18" s="1"/>
    </row>
    <row r="19" spans="1:24">
      <c r="A19" s="1" t="s">
        <v>137</v>
      </c>
      <c r="B19" s="42" t="str">
        <f>IF(OR(B8=0,B15=""),"",B15/B8)</f>
        <v/>
      </c>
      <c r="C19" s="1"/>
      <c r="D19" s="1"/>
      <c r="E19" s="1"/>
      <c r="F19" s="1"/>
      <c r="G19" s="1"/>
      <c r="H19" s="1"/>
      <c r="I19" s="1"/>
      <c r="J19" s="1"/>
      <c r="K19" s="1"/>
      <c r="L19" s="1"/>
      <c r="M19" s="1"/>
      <c r="N19" s="1"/>
      <c r="O19" s="1"/>
      <c r="P19" s="1"/>
      <c r="Q19" s="1"/>
      <c r="R19" s="1"/>
      <c r="S19" s="1"/>
      <c r="T19" s="1"/>
      <c r="U19" s="1"/>
      <c r="V19" s="1"/>
      <c r="W19" s="1"/>
      <c r="X19" s="1"/>
    </row>
    <row r="20" spans="1:24">
      <c r="A20" s="1" t="s">
        <v>138</v>
      </c>
      <c r="B20" s="41" t="str">
        <f>IF(SUMPRODUCT(--ISNUMBER($O$50:$O$61),$B$50:$B$61)=0,"",SUMPRODUCT($O$50:$O$61,$B$50:$B$61)/SUMPRODUCT(--ISNUMBER($O$50:$O$61),$B$50:$B$61))</f>
        <v/>
      </c>
      <c r="C20" s="1"/>
      <c r="D20" s="1"/>
      <c r="E20" s="1"/>
      <c r="F20" s="1"/>
      <c r="G20" s="1"/>
      <c r="H20" s="1"/>
      <c r="I20" s="1"/>
      <c r="J20" s="1"/>
      <c r="K20" s="1"/>
      <c r="L20" s="1"/>
      <c r="M20" s="1"/>
      <c r="N20" s="1"/>
      <c r="O20" s="1"/>
      <c r="P20" s="1"/>
      <c r="Q20" s="1"/>
      <c r="R20" s="1"/>
      <c r="S20" s="1"/>
      <c r="T20" s="1"/>
      <c r="U20" s="1"/>
      <c r="V20" s="1"/>
      <c r="W20" s="1"/>
      <c r="X20" s="1"/>
    </row>
    <row r="21" spans="1:24">
      <c r="A21" s="1" t="s">
        <v>139</v>
      </c>
      <c r="B21" s="26" t="str">
        <f>IF(COUNT($K$67:$K$75)=0,"",SUM($K$67:$K$75))</f>
        <v/>
      </c>
      <c r="C21" s="1"/>
      <c r="D21" s="1"/>
      <c r="E21" s="1"/>
      <c r="F21" s="1"/>
      <c r="G21" s="1"/>
      <c r="H21" s="1"/>
      <c r="I21" s="1"/>
      <c r="J21" s="1"/>
      <c r="K21" s="1"/>
      <c r="L21" s="1"/>
      <c r="M21" s="1"/>
      <c r="N21" s="1"/>
      <c r="O21" s="1"/>
      <c r="P21" s="1"/>
      <c r="Q21" s="1"/>
      <c r="R21" s="1"/>
      <c r="S21" s="1"/>
      <c r="T21" s="1"/>
      <c r="U21" s="1"/>
      <c r="V21" s="1"/>
      <c r="W21" s="1"/>
      <c r="X21" s="1"/>
    </row>
    <row r="22" spans="1:24">
      <c r="A22" s="1" t="s">
        <v>140</v>
      </c>
      <c r="B22" s="31" t="str">
        <f>IF(OR(NOT(ISNUMBER(B21)),NOT(ISNUMBER(B15)),B15=0),"",B21/B15)</f>
        <v/>
      </c>
      <c r="C22" s="1"/>
      <c r="D22" s="1"/>
      <c r="E22" s="1"/>
      <c r="F22" s="1"/>
      <c r="G22" s="1"/>
      <c r="H22" s="1"/>
      <c r="I22" s="1"/>
      <c r="J22" s="1"/>
      <c r="K22" s="1"/>
      <c r="L22" s="1"/>
      <c r="M22" s="1"/>
      <c r="N22" s="1"/>
      <c r="O22" s="1"/>
      <c r="P22" s="1"/>
      <c r="Q22" s="1"/>
      <c r="R22" s="1"/>
      <c r="S22" s="1"/>
      <c r="T22" s="1"/>
      <c r="U22" s="1"/>
      <c r="V22" s="1"/>
      <c r="W22" s="1"/>
      <c r="X22" s="1"/>
    </row>
    <row r="23" spans="1:24">
      <c r="A23" s="1" t="s">
        <v>141</v>
      </c>
      <c r="B23" s="31" t="str">
        <f>IF(COUNT($F$50:$F$61)=0,"",SUMIF($F$50:$F$61,"&gt;=0",$E$50:$E$61))</f>
        <v/>
      </c>
      <c r="C23" s="1"/>
      <c r="D23" s="1"/>
      <c r="E23" s="1"/>
      <c r="F23" s="1"/>
      <c r="G23" s="1"/>
      <c r="H23" s="1"/>
      <c r="I23" s="1"/>
      <c r="J23" s="1"/>
      <c r="K23" s="1"/>
      <c r="L23" s="1"/>
      <c r="M23" s="1"/>
      <c r="N23" s="1"/>
      <c r="O23" s="1"/>
      <c r="P23" s="1"/>
      <c r="Q23" s="1"/>
      <c r="R23" s="1"/>
      <c r="S23" s="1"/>
      <c r="T23" s="1"/>
      <c r="U23" s="1"/>
      <c r="V23" s="1"/>
      <c r="W23" s="1"/>
      <c r="X23" s="1"/>
    </row>
    <row r="24" spans="1:24">
      <c r="A24" s="1" t="s">
        <v>142</v>
      </c>
      <c r="B24" s="31" t="str">
        <f>IF(COUNT($F$50:$F$61)=0,"",SUM($F$50:$F$61))</f>
        <v/>
      </c>
      <c r="C24" s="1"/>
      <c r="D24" s="1"/>
      <c r="E24" s="1"/>
      <c r="F24" s="1"/>
      <c r="G24" s="1"/>
      <c r="H24" s="1"/>
      <c r="I24" s="1"/>
      <c r="J24" s="1"/>
      <c r="K24" s="1"/>
      <c r="L24" s="1"/>
      <c r="M24" s="1"/>
      <c r="N24" s="1"/>
      <c r="O24" s="1"/>
      <c r="P24" s="1"/>
      <c r="Q24" s="1"/>
      <c r="R24" s="1"/>
      <c r="S24" s="1"/>
      <c r="T24" s="1"/>
      <c r="U24" s="1"/>
      <c r="V24" s="1"/>
      <c r="W24" s="1"/>
      <c r="X24" s="1"/>
    </row>
    <row r="25" spans="1:24">
      <c r="A25" s="1" t="s">
        <v>143</v>
      </c>
      <c r="B25" s="31" t="str">
        <f>IF(OR(B23="",B24=""),"",B24-B23)</f>
        <v/>
      </c>
      <c r="C25" s="1"/>
      <c r="D25" s="1"/>
      <c r="E25" s="1"/>
      <c r="F25" s="1"/>
      <c r="G25" s="1"/>
      <c r="H25" s="1"/>
      <c r="I25" s="1"/>
      <c r="J25" s="1"/>
      <c r="K25" s="1"/>
      <c r="L25" s="1"/>
      <c r="M25" s="1"/>
      <c r="N25" s="1"/>
      <c r="O25" s="1"/>
      <c r="P25" s="1"/>
      <c r="Q25" s="1"/>
      <c r="R25" s="1"/>
      <c r="S25" s="1"/>
      <c r="T25" s="1"/>
      <c r="U25" s="1"/>
      <c r="V25" s="1"/>
      <c r="W25" s="1"/>
      <c r="X25" s="1"/>
    </row>
    <row r="26" spans="1:24">
      <c r="A26" s="1" t="s">
        <v>144</v>
      </c>
      <c r="B26" s="21">
        <f>COUNTIF($P$50:$P$61,"ALERTA*")</f>
        <v>0</v>
      </c>
      <c r="C26" s="1"/>
      <c r="D26" s="1"/>
      <c r="E26" s="1"/>
      <c r="F26" s="1"/>
      <c r="G26" s="1"/>
      <c r="H26" s="1"/>
      <c r="I26" s="1"/>
      <c r="J26" s="1"/>
      <c r="K26" s="1"/>
      <c r="L26" s="1"/>
      <c r="M26" s="1"/>
      <c r="N26" s="1"/>
      <c r="O26" s="1"/>
      <c r="P26" s="1"/>
      <c r="Q26" s="1"/>
      <c r="R26" s="1"/>
      <c r="S26" s="1"/>
      <c r="T26" s="1"/>
      <c r="U26" s="1"/>
      <c r="V26" s="1"/>
      <c r="W26" s="1"/>
      <c r="X26" s="1"/>
    </row>
    <row r="27" spans="1:24">
      <c r="A27" s="1" t="s">
        <v>145</v>
      </c>
      <c r="B27" s="26" t="str">
        <f>IF(OR(B23="",B23=0,B25=""),"",MAX(0,1-ABS(B25)/B23))</f>
        <v/>
      </c>
      <c r="C27" s="1"/>
      <c r="D27" s="1"/>
      <c r="E27" s="1"/>
      <c r="F27" s="1"/>
      <c r="G27" s="1"/>
      <c r="H27" s="1"/>
      <c r="I27" s="1"/>
      <c r="J27" s="1"/>
      <c r="K27" s="1"/>
      <c r="L27" s="1"/>
      <c r="M27" s="1"/>
      <c r="N27" s="1"/>
      <c r="O27" s="1"/>
      <c r="P27" s="1"/>
      <c r="Q27" s="1"/>
      <c r="R27" s="1"/>
      <c r="S27" s="1"/>
      <c r="T27" s="1"/>
      <c r="U27" s="1"/>
      <c r="V27" s="1"/>
      <c r="W27" s="1"/>
      <c r="X27" s="1"/>
    </row>
    <row r="28" spans="1:24">
      <c r="A28" s="1"/>
      <c r="B28" s="1"/>
      <c r="C28" s="1"/>
      <c r="D28" s="1"/>
      <c r="E28" s="1"/>
      <c r="F28" s="1"/>
      <c r="G28" s="1"/>
      <c r="H28" s="1"/>
      <c r="I28" s="1"/>
      <c r="J28" s="1"/>
      <c r="K28" s="1"/>
      <c r="L28" s="1"/>
      <c r="M28" s="1"/>
      <c r="N28" s="1"/>
      <c r="O28" s="1"/>
      <c r="P28" s="1"/>
      <c r="Q28" s="1"/>
      <c r="R28" s="1"/>
      <c r="S28" s="1"/>
      <c r="T28" s="1"/>
      <c r="U28" s="1"/>
      <c r="V28" s="1"/>
      <c r="W28" s="1"/>
      <c r="X28" s="1"/>
    </row>
    <row r="29" spans="1:24">
      <c r="A29" s="1"/>
      <c r="B29" s="1"/>
      <c r="C29" s="1"/>
      <c r="D29" s="1"/>
      <c r="E29" s="1"/>
      <c r="F29" s="1"/>
      <c r="G29" s="1"/>
      <c r="H29" s="1"/>
      <c r="I29" s="1"/>
      <c r="J29" s="1"/>
      <c r="K29" s="1"/>
      <c r="L29" s="1"/>
      <c r="M29" s="1"/>
      <c r="N29" s="1"/>
      <c r="O29" s="1"/>
      <c r="P29" s="1"/>
      <c r="Q29" s="1"/>
      <c r="R29" s="1"/>
      <c r="S29" s="1"/>
      <c r="T29" s="1"/>
      <c r="U29" s="1"/>
      <c r="V29" s="1"/>
      <c r="W29" s="1"/>
      <c r="X29" s="1"/>
    </row>
    <row r="30" spans="1:24">
      <c r="A30" s="19" t="s">
        <v>146</v>
      </c>
      <c r="B30" s="19"/>
      <c r="C30" s="19"/>
      <c r="D30" s="19"/>
      <c r="E30" s="19"/>
      <c r="F30" s="19"/>
      <c r="G30" s="19"/>
      <c r="H30" s="19"/>
      <c r="I30" s="19"/>
      <c r="J30" s="19"/>
      <c r="K30" s="19"/>
      <c r="L30" s="19"/>
      <c r="M30" s="19"/>
      <c r="N30" s="19"/>
      <c r="O30" s="1"/>
      <c r="P30" s="1"/>
      <c r="Q30" s="1"/>
      <c r="R30" s="1"/>
      <c r="S30" s="1"/>
      <c r="T30" s="1"/>
      <c r="U30" s="1"/>
      <c r="V30" s="1"/>
      <c r="W30" s="1"/>
      <c r="X30" s="1"/>
    </row>
    <row r="31" spans="1:24">
      <c r="A31" s="1"/>
      <c r="B31" s="1"/>
      <c r="C31" s="1"/>
      <c r="D31" s="1"/>
      <c r="E31" s="1"/>
      <c r="F31" s="1"/>
      <c r="G31" s="1"/>
      <c r="H31" s="1"/>
      <c r="I31" s="1"/>
      <c r="J31" s="1"/>
      <c r="K31" s="1"/>
      <c r="L31" s="1"/>
      <c r="M31" s="1"/>
      <c r="N31" s="1"/>
      <c r="O31" s="1"/>
      <c r="P31" s="1"/>
      <c r="Q31" s="1"/>
      <c r="R31" s="1"/>
      <c r="S31" s="1"/>
      <c r="T31" s="1"/>
      <c r="U31" s="1"/>
      <c r="V31" s="1"/>
      <c r="W31" s="1"/>
      <c r="X31" s="1"/>
    </row>
    <row r="32" spans="1:24" ht="32" customHeight="1">
      <c r="A32" s="8" t="s">
        <v>147</v>
      </c>
      <c r="B32" s="9" t="s">
        <v>148</v>
      </c>
      <c r="C32" s="9" t="s">
        <v>149</v>
      </c>
      <c r="D32" s="9" t="s">
        <v>150</v>
      </c>
      <c r="E32" s="9" t="s">
        <v>151</v>
      </c>
      <c r="F32" s="9" t="s">
        <v>152</v>
      </c>
      <c r="G32" s="9" t="s">
        <v>153</v>
      </c>
      <c r="H32" s="9" t="s">
        <v>154</v>
      </c>
      <c r="I32" s="9" t="s">
        <v>155</v>
      </c>
      <c r="J32" s="9" t="s">
        <v>156</v>
      </c>
      <c r="K32" s="9" t="s">
        <v>157</v>
      </c>
      <c r="L32" s="9" t="s">
        <v>158</v>
      </c>
      <c r="M32" s="9" t="s">
        <v>159</v>
      </c>
      <c r="N32" s="10" t="s">
        <v>160</v>
      </c>
      <c r="O32" s="1"/>
      <c r="P32" s="1"/>
      <c r="Q32" s="1"/>
      <c r="R32" s="1"/>
      <c r="S32" s="1"/>
      <c r="T32" s="1"/>
      <c r="U32" s="1"/>
      <c r="V32" s="1"/>
      <c r="W32" s="1"/>
      <c r="X32" s="1"/>
    </row>
    <row r="33" spans="1:24">
      <c r="A33" s="1" t="s">
        <v>161</v>
      </c>
      <c r="B33" s="31">
        <f>IF($B$50="","",$B$50)</f>
        <v>100000</v>
      </c>
      <c r="C33" s="31" t="str">
        <f>IF($B$51="","",$B$51)</f>
        <v/>
      </c>
      <c r="D33" s="31" t="str">
        <f>IF($B$52="","",$B$52)</f>
        <v/>
      </c>
      <c r="E33" s="31" t="str">
        <f>IF($B$53="","",$B$53)</f>
        <v/>
      </c>
      <c r="F33" s="31" t="str">
        <f>IF($B$54="","",$B$54)</f>
        <v/>
      </c>
      <c r="G33" s="31" t="str">
        <f>IF($B$55="","",$B$55)</f>
        <v/>
      </c>
      <c r="H33" s="31" t="str">
        <f>IF($B$56="","",$B$56)</f>
        <v/>
      </c>
      <c r="I33" s="31" t="str">
        <f>IF($B$57="","",$B$57)</f>
        <v/>
      </c>
      <c r="J33" s="31" t="str">
        <f>IF($B$58="","",$B$58)</f>
        <v/>
      </c>
      <c r="K33" s="31" t="str">
        <f>IF($B$59="","",$B$59)</f>
        <v/>
      </c>
      <c r="L33" s="31" t="str">
        <f>IF($B$60="","",$B$60)</f>
        <v/>
      </c>
      <c r="M33" s="31" t="str">
        <f>IF($B$61="","",$B$61)</f>
        <v/>
      </c>
      <c r="N33" s="31">
        <f>B8</f>
        <v>100000</v>
      </c>
      <c r="O33" s="1"/>
      <c r="P33" s="1"/>
      <c r="Q33" s="1"/>
      <c r="R33" s="1"/>
      <c r="S33" s="1"/>
      <c r="T33" s="1"/>
      <c r="U33" s="1"/>
      <c r="V33" s="1"/>
      <c r="W33" s="1"/>
      <c r="X33" s="1"/>
    </row>
    <row r="34" spans="1:24">
      <c r="A34" s="1" t="s">
        <v>162</v>
      </c>
      <c r="B34" s="31">
        <f>IF($C$50="","",$C$50)</f>
        <v>109651.13049755093</v>
      </c>
      <c r="C34" s="31" t="str">
        <f>IF($C$51="","",$C$51)</f>
        <v/>
      </c>
      <c r="D34" s="31" t="str">
        <f>IF($C$52="","",$C$52)</f>
        <v/>
      </c>
      <c r="E34" s="31" t="str">
        <f>IF($C$53="","",$C$53)</f>
        <v/>
      </c>
      <c r="F34" s="31" t="str">
        <f>IF($C$54="","",$C$54)</f>
        <v/>
      </c>
      <c r="G34" s="31" t="str">
        <f>IF($C$55="","",$C$55)</f>
        <v/>
      </c>
      <c r="H34" s="31" t="str">
        <f>IF($C$56="","",$C$56)</f>
        <v/>
      </c>
      <c r="I34" s="31" t="str">
        <f>IF($C$57="","",$C$57)</f>
        <v/>
      </c>
      <c r="J34" s="31" t="str">
        <f>IF($C$58="","",$C$58)</f>
        <v/>
      </c>
      <c r="K34" s="31" t="str">
        <f>IF($C$59="","",$C$59)</f>
        <v/>
      </c>
      <c r="L34" s="31" t="str">
        <f>IF($C$60="","",$C$60)</f>
        <v/>
      </c>
      <c r="M34" s="31" t="str">
        <f>IF($C$61="","",$C$61)</f>
        <v/>
      </c>
      <c r="N34" s="31">
        <f>B10</f>
        <v>109651.13049755093</v>
      </c>
      <c r="O34" s="1"/>
      <c r="P34" s="1"/>
      <c r="Q34" s="1"/>
      <c r="R34" s="1"/>
      <c r="S34" s="1"/>
      <c r="T34" s="1"/>
      <c r="U34" s="1"/>
      <c r="V34" s="1"/>
      <c r="W34" s="1"/>
      <c r="X34" s="1"/>
    </row>
    <row r="35" spans="1:24">
      <c r="A35" s="1" t="s">
        <v>163</v>
      </c>
      <c r="B35" s="31">
        <f>IF($D$50="","",$D$50)</f>
        <v>109651.13049755096</v>
      </c>
      <c r="C35" s="31" t="str">
        <f>IF($D$51="","",$D$51)</f>
        <v/>
      </c>
      <c r="D35" s="31" t="str">
        <f>IF($D$52="","",$D$52)</f>
        <v/>
      </c>
      <c r="E35" s="31" t="str">
        <f>IF($D$53="","",$D$53)</f>
        <v/>
      </c>
      <c r="F35" s="31" t="str">
        <f>IF($D$54="","",$D$54)</f>
        <v/>
      </c>
      <c r="G35" s="31" t="str">
        <f>IF($D$55="","",$D$55)</f>
        <v/>
      </c>
      <c r="H35" s="31" t="str">
        <f>IF($D$56="","",$D$56)</f>
        <v/>
      </c>
      <c r="I35" s="31" t="str">
        <f>IF($D$57="","",$D$57)</f>
        <v/>
      </c>
      <c r="J35" s="31" t="str">
        <f>IF($D$58="","",$D$58)</f>
        <v/>
      </c>
      <c r="K35" s="31" t="str">
        <f>IF($D$59="","",$D$59)</f>
        <v/>
      </c>
      <c r="L35" s="31" t="str">
        <f>IF($D$60="","",$D$60)</f>
        <v/>
      </c>
      <c r="M35" s="31" t="str">
        <f>IF($D$61="","",$D$61)</f>
        <v/>
      </c>
      <c r="N35" s="31">
        <f>B11</f>
        <v>109651.13049755096</v>
      </c>
      <c r="O35" s="1"/>
      <c r="P35" s="1"/>
      <c r="Q35" s="1"/>
      <c r="R35" s="1"/>
      <c r="S35" s="1"/>
      <c r="T35" s="1"/>
      <c r="U35" s="1"/>
      <c r="V35" s="1"/>
      <c r="W35" s="1"/>
      <c r="X35" s="1"/>
    </row>
    <row r="36" spans="1:24">
      <c r="A36" s="1" t="s">
        <v>117</v>
      </c>
      <c r="B36" s="26">
        <f>IF(OR($C$50="",$C$50=0,$D$50=""),"",$D$50/$C$50)</f>
        <v>1.0000000000000002</v>
      </c>
      <c r="C36" s="26" t="str">
        <f>IF(OR($C$51="",$C$51=0,$D$51=""),"",$D$51/$C$51)</f>
        <v/>
      </c>
      <c r="D36" s="26" t="str">
        <f>IF(OR($C$52="",$C$52=0,$D$52=""),"",$D$52/$C$52)</f>
        <v/>
      </c>
      <c r="E36" s="26" t="str">
        <f>IF(OR($C$53="",$C$53=0,$D$53=""),"",$D$53/$C$53)</f>
        <v/>
      </c>
      <c r="F36" s="26" t="str">
        <f>IF(OR($C$54="",$C$54=0,$D$54=""),"",$D$54/$C$54)</f>
        <v/>
      </c>
      <c r="G36" s="26" t="str">
        <f>IF(OR($C$55="",$C$55=0,$D$55=""),"",$D$55/$C$55)</f>
        <v/>
      </c>
      <c r="H36" s="26" t="str">
        <f>IF(OR($C$56="",$C$56=0,$D$56=""),"",$D$56/$C$56)</f>
        <v/>
      </c>
      <c r="I36" s="26" t="str">
        <f>IF(OR($C$57="",$C$57=0,$D$57=""),"",$D$57/$C$57)</f>
        <v/>
      </c>
      <c r="J36" s="26" t="str">
        <f>IF(OR($C$58="",$C$58=0,$D$58=""),"",$D$58/$C$58)</f>
        <v/>
      </c>
      <c r="K36" s="26" t="str">
        <f>IF(OR($C$59="",$C$59=0,$D$59=""),"",$D$59/$C$59)</f>
        <v/>
      </c>
      <c r="L36" s="26" t="str">
        <f>IF(OR($C$60="",$C$60=0,$D$60=""),"",$D$60/$C$60)</f>
        <v/>
      </c>
      <c r="M36" s="26" t="str">
        <f>IF(OR($C$61="",$C$61=0,$D$61=""),"",$D$61/$C$61)</f>
        <v/>
      </c>
      <c r="N36" s="26">
        <f>B16</f>
        <v>1.0000000000000002</v>
      </c>
      <c r="O36" s="1"/>
      <c r="P36" s="1"/>
      <c r="Q36" s="1"/>
      <c r="R36" s="1"/>
      <c r="S36" s="1"/>
      <c r="T36" s="1"/>
      <c r="U36" s="1"/>
      <c r="V36" s="1"/>
      <c r="W36" s="1"/>
      <c r="X36" s="1"/>
    </row>
    <row r="37" spans="1:24">
      <c r="A37" s="1" t="s">
        <v>164</v>
      </c>
      <c r="B37" s="41" t="str">
        <f>IF($J$50="","",$J$50)</f>
        <v/>
      </c>
      <c r="C37" s="41" t="str">
        <f>IF($J$51="","",$J$51)</f>
        <v/>
      </c>
      <c r="D37" s="41" t="str">
        <f>IF($J$52="","",$J$52)</f>
        <v/>
      </c>
      <c r="E37" s="41" t="str">
        <f>IF($J$53="","",$J$53)</f>
        <v/>
      </c>
      <c r="F37" s="41" t="str">
        <f>IF($J$54="","",$J$54)</f>
        <v/>
      </c>
      <c r="G37" s="41" t="str">
        <f>IF($J$55="","",$J$55)</f>
        <v/>
      </c>
      <c r="H37" s="41" t="str">
        <f>IF($J$56="","",$J$56)</f>
        <v/>
      </c>
      <c r="I37" s="41" t="str">
        <f>IF($J$57="","",$J$57)</f>
        <v/>
      </c>
      <c r="J37" s="41" t="str">
        <f>IF($J$58="","",$J$58)</f>
        <v/>
      </c>
      <c r="K37" s="41" t="str">
        <f>IF($J$59="","",$J$59)</f>
        <v/>
      </c>
      <c r="L37" s="41" t="str">
        <f>IF($J$60="","",$J$60)</f>
        <v/>
      </c>
      <c r="M37" s="41" t="str">
        <f>IF($J$61="","",$J$61)</f>
        <v/>
      </c>
      <c r="N37" s="41" t="str">
        <f>IF(B15="","",B15)</f>
        <v/>
      </c>
      <c r="O37" s="1"/>
      <c r="P37" s="1"/>
      <c r="Q37" s="1"/>
      <c r="R37" s="1"/>
      <c r="S37" s="1"/>
      <c r="T37" s="1"/>
      <c r="U37" s="1"/>
      <c r="V37" s="1"/>
      <c r="W37" s="1"/>
      <c r="X37" s="1"/>
    </row>
    <row r="38" spans="1:24">
      <c r="A38" s="1" t="s">
        <v>137</v>
      </c>
      <c r="B38" s="42" t="str">
        <f>IF($K$50="","",$K$50)</f>
        <v/>
      </c>
      <c r="C38" s="42" t="str">
        <f>IF($K$51="","",$K$51)</f>
        <v/>
      </c>
      <c r="D38" s="42" t="str">
        <f>IF($K$52="","",$K$52)</f>
        <v/>
      </c>
      <c r="E38" s="42" t="str">
        <f>IF($K$53="","",$K$53)</f>
        <v/>
      </c>
      <c r="F38" s="42" t="str">
        <f>IF($K$54="","",$K$54)</f>
        <v/>
      </c>
      <c r="G38" s="42" t="str">
        <f>IF($K$55="","",$K$55)</f>
        <v/>
      </c>
      <c r="H38" s="42" t="str">
        <f>IF($K$56="","",$K$56)</f>
        <v/>
      </c>
      <c r="I38" s="42" t="str">
        <f>IF($K$57="","",$K$57)</f>
        <v/>
      </c>
      <c r="J38" s="42" t="str">
        <f>IF($K$58="","",$K$58)</f>
        <v/>
      </c>
      <c r="K38" s="42" t="str">
        <f>IF($K$59="","",$K$59)</f>
        <v/>
      </c>
      <c r="L38" s="42" t="str">
        <f>IF($K$60="","",$K$60)</f>
        <v/>
      </c>
      <c r="M38" s="42" t="str">
        <f>IF($K$61="","",$K$61)</f>
        <v/>
      </c>
      <c r="N38" s="42" t="str">
        <f>IF(B19="","",B19)</f>
        <v/>
      </c>
      <c r="O38" s="1"/>
      <c r="P38" s="1"/>
      <c r="Q38" s="1"/>
      <c r="R38" s="1"/>
      <c r="S38" s="1"/>
      <c r="T38" s="1"/>
      <c r="U38" s="1"/>
      <c r="V38" s="1"/>
      <c r="W38" s="1"/>
      <c r="X38" s="1"/>
    </row>
    <row r="39" spans="1:24">
      <c r="A39" s="1" t="s">
        <v>138</v>
      </c>
      <c r="B39" s="42" t="str">
        <f>IF($O$50="","",$O$50)</f>
        <v/>
      </c>
      <c r="C39" s="42" t="str">
        <f>IF($O$51="","",$O$51)</f>
        <v/>
      </c>
      <c r="D39" s="42" t="str">
        <f>IF($O$52="","",$O$52)</f>
        <v/>
      </c>
      <c r="E39" s="42" t="str">
        <f>IF($O$53="","",$O$53)</f>
        <v/>
      </c>
      <c r="F39" s="42" t="str">
        <f>IF($O$54="","",$O$54)</f>
        <v/>
      </c>
      <c r="G39" s="42" t="str">
        <f>IF($O$55="","",$O$55)</f>
        <v/>
      </c>
      <c r="H39" s="42" t="str">
        <f>IF($O$56="","",$O$56)</f>
        <v/>
      </c>
      <c r="I39" s="42" t="str">
        <f>IF($O$57="","",$O$57)</f>
        <v/>
      </c>
      <c r="J39" s="42" t="str">
        <f>IF($O$58="","",$O$58)</f>
        <v/>
      </c>
      <c r="K39" s="42" t="str">
        <f>IF($O$59="","",$O$59)</f>
        <v/>
      </c>
      <c r="L39" s="42" t="str">
        <f>IF($O$60="","",$O$60)</f>
        <v/>
      </c>
      <c r="M39" s="42" t="str">
        <f>IF($O$61="","",$O$61)</f>
        <v/>
      </c>
      <c r="N39" s="42" t="str">
        <f>IF(B20="","",B20)</f>
        <v/>
      </c>
      <c r="O39" s="1"/>
      <c r="P39" s="1"/>
      <c r="Q39" s="1"/>
      <c r="R39" s="1"/>
      <c r="S39" s="1"/>
      <c r="T39" s="1"/>
      <c r="U39" s="1"/>
      <c r="V39" s="1"/>
      <c r="W39" s="1"/>
      <c r="X39" s="1"/>
    </row>
    <row r="40" spans="1:24">
      <c r="A40" s="1" t="s">
        <v>101</v>
      </c>
      <c r="B40" s="31">
        <f>IF($E$50="","",$E$50)</f>
        <v>9651.1304975509265</v>
      </c>
      <c r="C40" s="31" t="str">
        <f>IF($E$51="","",$E$51)</f>
        <v/>
      </c>
      <c r="D40" s="31" t="str">
        <f>IF($E$52="","",$E$52)</f>
        <v/>
      </c>
      <c r="E40" s="31" t="str">
        <f>IF($E$53="","",$E$53)</f>
        <v/>
      </c>
      <c r="F40" s="31" t="str">
        <f>IF($E$54="","",$E$54)</f>
        <v/>
      </c>
      <c r="G40" s="31" t="str">
        <f>IF($E$55="","",$E$55)</f>
        <v/>
      </c>
      <c r="H40" s="31" t="str">
        <f>IF($E$56="","",$E$56)</f>
        <v/>
      </c>
      <c r="I40" s="31" t="str">
        <f>IF($E$57="","",$E$57)</f>
        <v/>
      </c>
      <c r="J40" s="31" t="str">
        <f>IF($E$58="","",$E$58)</f>
        <v/>
      </c>
      <c r="K40" s="31" t="str">
        <f>IF($E$59="","",$E$59)</f>
        <v/>
      </c>
      <c r="L40" s="31" t="str">
        <f>IF($E$60="","",$E$60)</f>
        <v/>
      </c>
      <c r="M40" s="31" t="str">
        <f>IF($E$61="","",$E$61)</f>
        <v/>
      </c>
      <c r="N40" s="31">
        <f>B12</f>
        <v>9651.1304975509265</v>
      </c>
      <c r="O40" s="1"/>
      <c r="P40" s="1"/>
      <c r="Q40" s="1"/>
      <c r="R40" s="1"/>
      <c r="S40" s="1"/>
      <c r="T40" s="1"/>
      <c r="U40" s="1"/>
      <c r="V40" s="1"/>
      <c r="W40" s="1"/>
      <c r="X40" s="1"/>
    </row>
    <row r="41" spans="1:24">
      <c r="A41" s="1" t="s">
        <v>132</v>
      </c>
      <c r="B41" s="31" t="str">
        <f>IF($F$50="","",$F$50)</f>
        <v/>
      </c>
      <c r="C41" s="31" t="str">
        <f>IF($F$51="","",$F$51)</f>
        <v/>
      </c>
      <c r="D41" s="31" t="str">
        <f>IF($F$52="","",$F$52)</f>
        <v/>
      </c>
      <c r="E41" s="31" t="str">
        <f>IF($F$53="","",$F$53)</f>
        <v/>
      </c>
      <c r="F41" s="31" t="str">
        <f>IF($F$54="","",$F$54)</f>
        <v/>
      </c>
      <c r="G41" s="31" t="str">
        <f>IF($F$55="","",$F$55)</f>
        <v/>
      </c>
      <c r="H41" s="31" t="str">
        <f>IF($F$56="","",$F$56)</f>
        <v/>
      </c>
      <c r="I41" s="31" t="str">
        <f>IF($F$57="","",$F$57)</f>
        <v/>
      </c>
      <c r="J41" s="31" t="str">
        <f>IF($F$58="","",$F$58)</f>
        <v/>
      </c>
      <c r="K41" s="31" t="str">
        <f>IF($F$59="","",$F$59)</f>
        <v/>
      </c>
      <c r="L41" s="31" t="str">
        <f>IF($F$60="","",$F$60)</f>
        <v/>
      </c>
      <c r="M41" s="31" t="str">
        <f>IF($F$61="","",$F$61)</f>
        <v/>
      </c>
      <c r="N41" s="31" t="str">
        <f>IF(B24="","",B24)</f>
        <v/>
      </c>
      <c r="O41" s="1"/>
      <c r="P41" s="1"/>
      <c r="Q41" s="1"/>
      <c r="R41" s="1"/>
      <c r="S41" s="1"/>
      <c r="T41" s="1"/>
      <c r="U41" s="1"/>
      <c r="V41" s="1"/>
      <c r="W41" s="1"/>
      <c r="X41" s="1"/>
    </row>
    <row r="42" spans="1:24">
      <c r="A42" s="1" t="s">
        <v>165</v>
      </c>
      <c r="B42" s="31" t="str">
        <f>IF($G$50="","",$G$50)</f>
        <v/>
      </c>
      <c r="C42" s="31" t="str">
        <f>IF($G$51="","",$G$51)</f>
        <v/>
      </c>
      <c r="D42" s="31" t="str">
        <f>IF($G$52="","",$G$52)</f>
        <v/>
      </c>
      <c r="E42" s="31" t="str">
        <f>IF($G$53="","",$G$53)</f>
        <v/>
      </c>
      <c r="F42" s="31" t="str">
        <f>IF($G$54="","",$G$54)</f>
        <v/>
      </c>
      <c r="G42" s="31" t="str">
        <f>IF($G$55="","",$G$55)</f>
        <v/>
      </c>
      <c r="H42" s="31" t="str">
        <f>IF($G$56="","",$G$56)</f>
        <v/>
      </c>
      <c r="I42" s="31" t="str">
        <f>IF($G$57="","",$G$57)</f>
        <v/>
      </c>
      <c r="J42" s="31" t="str">
        <f>IF($G$58="","",$G$58)</f>
        <v/>
      </c>
      <c r="K42" s="31" t="str">
        <f>IF($G$59="","",$G$59)</f>
        <v/>
      </c>
      <c r="L42" s="31" t="str">
        <f>IF($G$60="","",$G$60)</f>
        <v/>
      </c>
      <c r="M42" s="31" t="str">
        <f>IF($G$61="","",$G$61)</f>
        <v/>
      </c>
      <c r="N42" s="31" t="str">
        <f>IF(B25="","",B25)</f>
        <v/>
      </c>
      <c r="O42" s="1"/>
      <c r="P42" s="1"/>
      <c r="Q42" s="1"/>
      <c r="R42" s="1"/>
      <c r="S42" s="1"/>
      <c r="T42" s="1"/>
      <c r="U42" s="1"/>
      <c r="V42" s="1"/>
      <c r="W42" s="1"/>
      <c r="X42" s="1"/>
    </row>
    <row r="43" spans="1:24">
      <c r="A43" s="1" t="s">
        <v>166</v>
      </c>
      <c r="B43" s="26" t="str">
        <f>IF($H$50="","",$H$50)</f>
        <v/>
      </c>
      <c r="C43" s="26" t="str">
        <f>IF($H$51="","",$H$51)</f>
        <v/>
      </c>
      <c r="D43" s="26" t="str">
        <f>IF($H$52="","",$H$52)</f>
        <v/>
      </c>
      <c r="E43" s="26" t="str">
        <f>IF($H$53="","",$H$53)</f>
        <v/>
      </c>
      <c r="F43" s="26" t="str">
        <f>IF($H$54="","",$H$54)</f>
        <v/>
      </c>
      <c r="G43" s="26" t="str">
        <f>IF($H$55="","",$H$55)</f>
        <v/>
      </c>
      <c r="H43" s="26" t="str">
        <f>IF($H$56="","",$H$56)</f>
        <v/>
      </c>
      <c r="I43" s="26" t="str">
        <f>IF($H$57="","",$H$57)</f>
        <v/>
      </c>
      <c r="J43" s="26" t="str">
        <f>IF($H$58="","",$H$58)</f>
        <v/>
      </c>
      <c r="K43" s="26" t="str">
        <f>IF($H$59="","",$H$59)</f>
        <v/>
      </c>
      <c r="L43" s="26" t="str">
        <f>IF($H$60="","",$H$60)</f>
        <v/>
      </c>
      <c r="M43" s="26" t="str">
        <f>IF($H$61="","",$H$61)</f>
        <v/>
      </c>
      <c r="N43" s="26" t="str">
        <f>IF(OR(B8=0,B25=""),"",B25/B8)</f>
        <v/>
      </c>
      <c r="O43" s="1"/>
      <c r="P43" s="1"/>
      <c r="Q43" s="1"/>
      <c r="R43" s="1"/>
      <c r="S43" s="1"/>
      <c r="T43" s="1"/>
      <c r="U43" s="1"/>
      <c r="V43" s="1"/>
      <c r="W43" s="1"/>
      <c r="X43" s="1"/>
    </row>
    <row r="44" spans="1:24">
      <c r="A44" s="1" t="s">
        <v>167</v>
      </c>
      <c r="B44" s="21" t="str">
        <f>IF($P$50="","",$P$50)</f>
        <v/>
      </c>
      <c r="C44" s="21" t="str">
        <f>IF($P$51="","",$P$51)</f>
        <v/>
      </c>
      <c r="D44" s="21" t="str">
        <f>IF($P$52="","",$P$52)</f>
        <v/>
      </c>
      <c r="E44" s="21" t="str">
        <f>IF($P$53="","",$P$53)</f>
        <v/>
      </c>
      <c r="F44" s="21" t="str">
        <f>IF($P$54="","",$P$54)</f>
        <v/>
      </c>
      <c r="G44" s="21" t="str">
        <f>IF($P$55="","",$P$55)</f>
        <v/>
      </c>
      <c r="H44" s="21" t="str">
        <f>IF($P$56="","",$P$56)</f>
        <v/>
      </c>
      <c r="I44" s="21" t="str">
        <f>IF($P$57="","",$P$57)</f>
        <v/>
      </c>
      <c r="J44" s="21" t="str">
        <f>IF($P$58="","",$P$58)</f>
        <v/>
      </c>
      <c r="K44" s="21" t="str">
        <f>IF($P$59="","",$P$59)</f>
        <v/>
      </c>
      <c r="L44" s="21" t="str">
        <f>IF($P$60="","",$P$60)</f>
        <v/>
      </c>
      <c r="M44" s="21" t="str">
        <f>IF($P$61="","",$P$61)</f>
        <v/>
      </c>
      <c r="N44" s="21"/>
      <c r="O44" s="1"/>
      <c r="P44" s="1"/>
      <c r="Q44" s="1"/>
      <c r="R44" s="1"/>
      <c r="S44" s="1"/>
      <c r="T44" s="1"/>
      <c r="U44" s="1"/>
      <c r="V44" s="1"/>
      <c r="W44" s="1"/>
      <c r="X44" s="1"/>
    </row>
    <row r="45" spans="1:24">
      <c r="A45" s="1"/>
      <c r="B45" s="1"/>
      <c r="C45" s="1"/>
      <c r="D45" s="1"/>
      <c r="E45" s="1"/>
      <c r="F45" s="1"/>
      <c r="G45" s="1"/>
      <c r="H45" s="1"/>
      <c r="I45" s="1"/>
      <c r="J45" s="1"/>
      <c r="K45" s="1"/>
      <c r="L45" s="1"/>
      <c r="M45" s="1"/>
      <c r="N45" s="1"/>
      <c r="O45" s="1"/>
      <c r="P45" s="1"/>
      <c r="Q45" s="1"/>
      <c r="R45" s="1"/>
      <c r="S45" s="1"/>
      <c r="T45" s="1"/>
      <c r="U45" s="1"/>
      <c r="V45" s="1"/>
      <c r="W45" s="1"/>
      <c r="X45" s="1"/>
    </row>
    <row r="46" spans="1:24">
      <c r="A46" s="1"/>
      <c r="B46" s="1"/>
      <c r="C46" s="1"/>
      <c r="D46" s="1"/>
      <c r="E46" s="1"/>
      <c r="F46" s="1"/>
      <c r="G46" s="1"/>
      <c r="H46" s="1"/>
      <c r="I46" s="1"/>
      <c r="J46" s="1"/>
      <c r="K46" s="1"/>
      <c r="L46" s="1"/>
      <c r="M46" s="1"/>
      <c r="N46" s="1"/>
      <c r="O46" s="1"/>
      <c r="P46" s="1"/>
      <c r="Q46" s="1"/>
      <c r="R46" s="1"/>
      <c r="S46" s="1"/>
      <c r="T46" s="1"/>
      <c r="U46" s="1"/>
      <c r="V46" s="1"/>
      <c r="W46" s="1"/>
      <c r="X46" s="1"/>
    </row>
    <row r="47" spans="1:24">
      <c r="A47" s="19" t="s">
        <v>168</v>
      </c>
      <c r="B47" s="19"/>
      <c r="C47" s="19"/>
      <c r="D47" s="19"/>
      <c r="E47" s="19"/>
      <c r="F47" s="19"/>
      <c r="G47" s="19"/>
      <c r="H47" s="19"/>
      <c r="I47" s="19"/>
      <c r="J47" s="19"/>
      <c r="K47" s="19"/>
      <c r="L47" s="19"/>
      <c r="M47" s="19"/>
      <c r="N47" s="19"/>
      <c r="O47" s="19"/>
      <c r="P47" s="19"/>
      <c r="Q47" s="1"/>
      <c r="R47" s="1"/>
      <c r="S47" s="1"/>
      <c r="T47" s="1"/>
      <c r="U47" s="1"/>
      <c r="V47" s="1"/>
      <c r="W47" s="1"/>
      <c r="X47" s="1"/>
    </row>
    <row r="48" spans="1:24">
      <c r="A48" s="1"/>
      <c r="B48" s="1"/>
      <c r="C48" s="1"/>
      <c r="D48" s="1"/>
      <c r="E48" s="1"/>
      <c r="F48" s="1"/>
      <c r="G48" s="1"/>
      <c r="H48" s="1"/>
      <c r="I48" s="1"/>
      <c r="J48" s="1"/>
      <c r="K48" s="1"/>
      <c r="L48" s="1"/>
      <c r="M48" s="1"/>
      <c r="N48" s="1"/>
      <c r="O48" s="1"/>
      <c r="P48" s="1"/>
      <c r="Q48" s="1"/>
      <c r="R48" s="1"/>
      <c r="S48" s="1"/>
      <c r="T48" s="1"/>
      <c r="U48" s="1"/>
      <c r="V48" s="1"/>
      <c r="W48" s="1"/>
      <c r="X48" s="1"/>
    </row>
    <row r="49" spans="1:24" ht="44" customHeight="1">
      <c r="A49" s="8" t="s">
        <v>97</v>
      </c>
      <c r="B49" s="9" t="s">
        <v>169</v>
      </c>
      <c r="C49" s="9" t="s">
        <v>162</v>
      </c>
      <c r="D49" s="9" t="s">
        <v>163</v>
      </c>
      <c r="E49" s="9" t="s">
        <v>101</v>
      </c>
      <c r="F49" s="9" t="s">
        <v>132</v>
      </c>
      <c r="G49" s="9" t="s">
        <v>165</v>
      </c>
      <c r="H49" s="9" t="s">
        <v>166</v>
      </c>
      <c r="I49" s="9" t="s">
        <v>145</v>
      </c>
      <c r="J49" s="9" t="s">
        <v>164</v>
      </c>
      <c r="K49" s="9" t="s">
        <v>137</v>
      </c>
      <c r="L49" s="9" t="s">
        <v>170</v>
      </c>
      <c r="M49" s="9" t="s">
        <v>171</v>
      </c>
      <c r="N49" s="9" t="s">
        <v>172</v>
      </c>
      <c r="O49" s="9" t="s">
        <v>138</v>
      </c>
      <c r="P49" s="10" t="s">
        <v>167</v>
      </c>
      <c r="Q49" s="1"/>
      <c r="R49" s="1"/>
      <c r="S49" s="1"/>
      <c r="T49" s="1"/>
      <c r="U49" s="1"/>
      <c r="V49" s="1"/>
      <c r="W49" s="1"/>
      <c r="X49" s="1"/>
    </row>
    <row r="50" spans="1:24">
      <c r="A50" s="1" t="s">
        <v>148</v>
      </c>
      <c r="B50" s="30">
        <f>IF(Plan_Produccion!$B$7="","",Plan_Produccion!$B$7)</f>
        <v>100000</v>
      </c>
      <c r="C50" s="30">
        <f>IF(B50="","",Plan_Produccion!$D$7)</f>
        <v>109651.13049755093</v>
      </c>
      <c r="D50" s="30">
        <f>IF(B50="","",IF(COUNT(Plan_Compras!$M$7:$M$15)=0,"",SUM(Plan_Compras!$M$7:$M$15)))</f>
        <v>109651.13049755096</v>
      </c>
      <c r="E50" s="30">
        <f>IF(B50="","",Plan_Produccion!$E$7)</f>
        <v>9651.1304975509265</v>
      </c>
      <c r="F50" s="29"/>
      <c r="G50" s="32" t="str">
        <f t="shared" ref="G50:G61" si="0">IF(F50="","",F50-E50)</f>
        <v/>
      </c>
      <c r="H50" s="35" t="str">
        <f t="shared" ref="H50:H61" si="1">IF(OR(F50="",B50="",B50=0),"",G50/B50)</f>
        <v/>
      </c>
      <c r="I50" s="35" t="str">
        <f t="shared" ref="I50:I61" si="2">IF(OR(F50="",E50="",E50=0),"",MAX(0,1-ABS(G50)/E50))</f>
        <v/>
      </c>
      <c r="J50" s="33" t="str">
        <f>IF(B50="","",IF(COUNT(Plan_Compras!$N$7:$N$15)=0,"",SUM(Plan_Compras!$N$7:$N$15)))</f>
        <v/>
      </c>
      <c r="K50" s="34" t="str">
        <f t="shared" ref="K50:K61" si="3">IF(OR(J50="",B50="",B50=0),"",J50/B50)</f>
        <v/>
      </c>
      <c r="L50" s="36"/>
      <c r="M50" s="36"/>
      <c r="N50" s="36"/>
      <c r="O50" s="34" t="str">
        <f t="shared" ref="O50:O61" si="4">IF(OR(K50="",L50="",M50="",N50=""),"",SUM(K50:N50))</f>
        <v/>
      </c>
      <c r="P50" s="20" t="str">
        <f>IF(OR(F50="",H50=""),"",IF(ABS(H50)&lt;=Supuestos!$B$13,"OK",IF(H50&gt;Supuestos!$B$13,"ALERTA – MERMA SUPERIOR A LA ESPERADA","ALERTA – MERMA INFERIOR A LA ESPERADA")))</f>
        <v/>
      </c>
      <c r="Q50" s="1"/>
      <c r="R50" s="1"/>
      <c r="S50" s="1"/>
      <c r="T50" s="1"/>
      <c r="U50" s="1"/>
      <c r="V50" s="1"/>
      <c r="W50" s="1"/>
      <c r="X50" s="1"/>
    </row>
    <row r="51" spans="1:24">
      <c r="A51" s="1" t="s">
        <v>149</v>
      </c>
      <c r="B51" s="30" t="str">
        <f>IF(Plan_Produccion!$B$8="","",Plan_Produccion!$B$8)</f>
        <v/>
      </c>
      <c r="C51" s="30" t="str">
        <f>IF(B51="","",Plan_Produccion!$D$8)</f>
        <v/>
      </c>
      <c r="D51" s="30" t="str">
        <f>IF(B51="","",IF(COUNT(Plan_Compras!$M$16:$M$24)=0,"",SUM(Plan_Compras!$M$16:$M$24)))</f>
        <v/>
      </c>
      <c r="E51" s="30" t="str">
        <f>IF(B51="","",Plan_Produccion!$E$8)</f>
        <v/>
      </c>
      <c r="F51" s="29"/>
      <c r="G51" s="32" t="str">
        <f t="shared" si="0"/>
        <v/>
      </c>
      <c r="H51" s="35" t="str">
        <f t="shared" si="1"/>
        <v/>
      </c>
      <c r="I51" s="35" t="str">
        <f t="shared" si="2"/>
        <v/>
      </c>
      <c r="J51" s="33" t="str">
        <f>IF(B51="","",IF(COUNT(Plan_Compras!$N$16:$N$24)=0,"",SUM(Plan_Compras!$N$16:$N$24)))</f>
        <v/>
      </c>
      <c r="K51" s="34" t="str">
        <f t="shared" si="3"/>
        <v/>
      </c>
      <c r="L51" s="36"/>
      <c r="M51" s="36"/>
      <c r="N51" s="36"/>
      <c r="O51" s="34" t="str">
        <f t="shared" si="4"/>
        <v/>
      </c>
      <c r="P51" s="20" t="str">
        <f>IF(OR(F51="",H51=""),"",IF(ABS(H51)&lt;=Supuestos!$B$13,"OK",IF(H51&gt;Supuestos!$B$13,"ALERTA – MERMA SUPERIOR A LA ESPERADA","ALERTA – MERMA INFERIOR A LA ESPERADA")))</f>
        <v/>
      </c>
      <c r="Q51" s="1"/>
      <c r="R51" s="1"/>
      <c r="S51" s="1"/>
      <c r="T51" s="1"/>
      <c r="U51" s="1"/>
      <c r="V51" s="1"/>
      <c r="W51" s="1"/>
      <c r="X51" s="1"/>
    </row>
    <row r="52" spans="1:24">
      <c r="A52" s="1" t="s">
        <v>150</v>
      </c>
      <c r="B52" s="30" t="str">
        <f>IF(Plan_Produccion!$B$9="","",Plan_Produccion!$B$9)</f>
        <v/>
      </c>
      <c r="C52" s="30" t="str">
        <f>IF(B52="","",Plan_Produccion!$D$9)</f>
        <v/>
      </c>
      <c r="D52" s="30" t="str">
        <f>IF(B52="","",IF(COUNT(Plan_Compras!$M$25:$M$33)=0,"",SUM(Plan_Compras!$M$25:$M$33)))</f>
        <v/>
      </c>
      <c r="E52" s="30" t="str">
        <f>IF(B52="","",Plan_Produccion!$E$9)</f>
        <v/>
      </c>
      <c r="F52" s="29"/>
      <c r="G52" s="32" t="str">
        <f t="shared" si="0"/>
        <v/>
      </c>
      <c r="H52" s="35" t="str">
        <f t="shared" si="1"/>
        <v/>
      </c>
      <c r="I52" s="35" t="str">
        <f t="shared" si="2"/>
        <v/>
      </c>
      <c r="J52" s="33" t="str">
        <f>IF(B52="","",IF(COUNT(Plan_Compras!$N$25:$N$33)=0,"",SUM(Plan_Compras!$N$25:$N$33)))</f>
        <v/>
      </c>
      <c r="K52" s="34" t="str">
        <f t="shared" si="3"/>
        <v/>
      </c>
      <c r="L52" s="36"/>
      <c r="M52" s="36"/>
      <c r="N52" s="36"/>
      <c r="O52" s="34" t="str">
        <f t="shared" si="4"/>
        <v/>
      </c>
      <c r="P52" s="20" t="str">
        <f>IF(OR(F52="",H52=""),"",IF(ABS(H52)&lt;=Supuestos!$B$13,"OK",IF(H52&gt;Supuestos!$B$13,"ALERTA – MERMA SUPERIOR A LA ESPERADA","ALERTA – MERMA INFERIOR A LA ESPERADA")))</f>
        <v/>
      </c>
      <c r="Q52" s="1"/>
      <c r="R52" s="1"/>
      <c r="S52" s="1"/>
      <c r="T52" s="1"/>
      <c r="U52" s="1"/>
      <c r="V52" s="1"/>
      <c r="W52" s="1"/>
      <c r="X52" s="1"/>
    </row>
    <row r="53" spans="1:24">
      <c r="A53" s="1" t="s">
        <v>151</v>
      </c>
      <c r="B53" s="30" t="str">
        <f>IF(Plan_Produccion!$B$10="","",Plan_Produccion!$B$10)</f>
        <v/>
      </c>
      <c r="C53" s="30" t="str">
        <f>IF(B53="","",Plan_Produccion!$D$10)</f>
        <v/>
      </c>
      <c r="D53" s="30" t="str">
        <f>IF(B53="","",IF(COUNT(Plan_Compras!$M$34:$M$42)=0,"",SUM(Plan_Compras!$M$34:$M$42)))</f>
        <v/>
      </c>
      <c r="E53" s="30" t="str">
        <f>IF(B53="","",Plan_Produccion!$E$10)</f>
        <v/>
      </c>
      <c r="F53" s="29"/>
      <c r="G53" s="32" t="str">
        <f t="shared" si="0"/>
        <v/>
      </c>
      <c r="H53" s="35" t="str">
        <f t="shared" si="1"/>
        <v/>
      </c>
      <c r="I53" s="35" t="str">
        <f t="shared" si="2"/>
        <v/>
      </c>
      <c r="J53" s="33" t="str">
        <f>IF(B53="","",IF(COUNT(Plan_Compras!$N$34:$N$42)=0,"",SUM(Plan_Compras!$N$34:$N$42)))</f>
        <v/>
      </c>
      <c r="K53" s="34" t="str">
        <f t="shared" si="3"/>
        <v/>
      </c>
      <c r="L53" s="36"/>
      <c r="M53" s="36"/>
      <c r="N53" s="36"/>
      <c r="O53" s="34" t="str">
        <f t="shared" si="4"/>
        <v/>
      </c>
      <c r="P53" s="20" t="str">
        <f>IF(OR(F53="",H53=""),"",IF(ABS(H53)&lt;=Supuestos!$B$13,"OK",IF(H53&gt;Supuestos!$B$13,"ALERTA – MERMA SUPERIOR A LA ESPERADA","ALERTA – MERMA INFERIOR A LA ESPERADA")))</f>
        <v/>
      </c>
      <c r="Q53" s="1"/>
      <c r="R53" s="1"/>
      <c r="S53" s="1"/>
      <c r="T53" s="1"/>
      <c r="U53" s="1"/>
      <c r="V53" s="1"/>
      <c r="W53" s="1"/>
      <c r="X53" s="1"/>
    </row>
    <row r="54" spans="1:24">
      <c r="A54" s="1" t="s">
        <v>152</v>
      </c>
      <c r="B54" s="30" t="str">
        <f>IF(Plan_Produccion!$B$11="","",Plan_Produccion!$B$11)</f>
        <v/>
      </c>
      <c r="C54" s="30" t="str">
        <f>IF(B54="","",Plan_Produccion!$D$11)</f>
        <v/>
      </c>
      <c r="D54" s="30" t="str">
        <f>IF(B54="","",IF(COUNT(Plan_Compras!$M$43:$M$51)=0,"",SUM(Plan_Compras!$M$43:$M$51)))</f>
        <v/>
      </c>
      <c r="E54" s="30" t="str">
        <f>IF(B54="","",Plan_Produccion!$E$11)</f>
        <v/>
      </c>
      <c r="F54" s="29"/>
      <c r="G54" s="32" t="str">
        <f t="shared" si="0"/>
        <v/>
      </c>
      <c r="H54" s="35" t="str">
        <f t="shared" si="1"/>
        <v/>
      </c>
      <c r="I54" s="35" t="str">
        <f t="shared" si="2"/>
        <v/>
      </c>
      <c r="J54" s="33" t="str">
        <f>IF(B54="","",IF(COUNT(Plan_Compras!$N$43:$N$51)=0,"",SUM(Plan_Compras!$N$43:$N$51)))</f>
        <v/>
      </c>
      <c r="K54" s="34" t="str">
        <f t="shared" si="3"/>
        <v/>
      </c>
      <c r="L54" s="36"/>
      <c r="M54" s="36"/>
      <c r="N54" s="36"/>
      <c r="O54" s="34" t="str">
        <f t="shared" si="4"/>
        <v/>
      </c>
      <c r="P54" s="20" t="str">
        <f>IF(OR(F54="",H54=""),"",IF(ABS(H54)&lt;=Supuestos!$B$13,"OK",IF(H54&gt;Supuestos!$B$13,"ALERTA – MERMA SUPERIOR A LA ESPERADA","ALERTA – MERMA INFERIOR A LA ESPERADA")))</f>
        <v/>
      </c>
      <c r="Q54" s="1"/>
      <c r="R54" s="1"/>
      <c r="S54" s="1"/>
      <c r="T54" s="1"/>
      <c r="U54" s="1"/>
      <c r="V54" s="1"/>
      <c r="W54" s="1"/>
      <c r="X54" s="1"/>
    </row>
    <row r="55" spans="1:24">
      <c r="A55" s="1" t="s">
        <v>153</v>
      </c>
      <c r="B55" s="30" t="str">
        <f>IF(Plan_Produccion!$B$12="","",Plan_Produccion!$B$12)</f>
        <v/>
      </c>
      <c r="C55" s="30" t="str">
        <f>IF(B55="","",Plan_Produccion!$D$12)</f>
        <v/>
      </c>
      <c r="D55" s="30" t="str">
        <f>IF(B55="","",IF(COUNT(Plan_Compras!$M$52:$M$60)=0,"",SUM(Plan_Compras!$M$52:$M$60)))</f>
        <v/>
      </c>
      <c r="E55" s="30" t="str">
        <f>IF(B55="","",Plan_Produccion!$E$12)</f>
        <v/>
      </c>
      <c r="F55" s="29"/>
      <c r="G55" s="32" t="str">
        <f t="shared" si="0"/>
        <v/>
      </c>
      <c r="H55" s="35" t="str">
        <f t="shared" si="1"/>
        <v/>
      </c>
      <c r="I55" s="35" t="str">
        <f t="shared" si="2"/>
        <v/>
      </c>
      <c r="J55" s="33" t="str">
        <f>IF(B55="","",IF(COUNT(Plan_Compras!$N$52:$N$60)=0,"",SUM(Plan_Compras!$N$52:$N$60)))</f>
        <v/>
      </c>
      <c r="K55" s="34" t="str">
        <f t="shared" si="3"/>
        <v/>
      </c>
      <c r="L55" s="36"/>
      <c r="M55" s="36"/>
      <c r="N55" s="36"/>
      <c r="O55" s="34" t="str">
        <f t="shared" si="4"/>
        <v/>
      </c>
      <c r="P55" s="20" t="str">
        <f>IF(OR(F55="",H55=""),"",IF(ABS(H55)&lt;=Supuestos!$B$13,"OK",IF(H55&gt;Supuestos!$B$13,"ALERTA – MERMA SUPERIOR A LA ESPERADA","ALERTA – MERMA INFERIOR A LA ESPERADA")))</f>
        <v/>
      </c>
      <c r="Q55" s="1"/>
      <c r="R55" s="1"/>
      <c r="S55" s="1"/>
      <c r="T55" s="1"/>
      <c r="U55" s="1"/>
      <c r="V55" s="1"/>
      <c r="W55" s="1"/>
      <c r="X55" s="1"/>
    </row>
    <row r="56" spans="1:24">
      <c r="A56" s="1" t="s">
        <v>154</v>
      </c>
      <c r="B56" s="30" t="str">
        <f>IF(Plan_Produccion!$B$13="","",Plan_Produccion!$B$13)</f>
        <v/>
      </c>
      <c r="C56" s="30" t="str">
        <f>IF(B56="","",Plan_Produccion!$D$13)</f>
        <v/>
      </c>
      <c r="D56" s="30" t="str">
        <f>IF(B56="","",IF(COUNT(Plan_Compras!$M$61:$M$69)=0,"",SUM(Plan_Compras!$M$61:$M$69)))</f>
        <v/>
      </c>
      <c r="E56" s="30" t="str">
        <f>IF(B56="","",Plan_Produccion!$E$13)</f>
        <v/>
      </c>
      <c r="F56" s="29"/>
      <c r="G56" s="32" t="str">
        <f t="shared" si="0"/>
        <v/>
      </c>
      <c r="H56" s="35" t="str">
        <f t="shared" si="1"/>
        <v/>
      </c>
      <c r="I56" s="35" t="str">
        <f t="shared" si="2"/>
        <v/>
      </c>
      <c r="J56" s="33" t="str">
        <f>IF(B56="","",IF(COUNT(Plan_Compras!$N$61:$N$69)=0,"",SUM(Plan_Compras!$N$61:$N$69)))</f>
        <v/>
      </c>
      <c r="K56" s="34" t="str">
        <f t="shared" si="3"/>
        <v/>
      </c>
      <c r="L56" s="36"/>
      <c r="M56" s="36"/>
      <c r="N56" s="36"/>
      <c r="O56" s="34" t="str">
        <f t="shared" si="4"/>
        <v/>
      </c>
      <c r="P56" s="20" t="str">
        <f>IF(OR(F56="",H56=""),"",IF(ABS(H56)&lt;=Supuestos!$B$13,"OK",IF(H56&gt;Supuestos!$B$13,"ALERTA – MERMA SUPERIOR A LA ESPERADA","ALERTA – MERMA INFERIOR A LA ESPERADA")))</f>
        <v/>
      </c>
      <c r="Q56" s="1"/>
      <c r="R56" s="1"/>
      <c r="S56" s="1"/>
      <c r="T56" s="1"/>
      <c r="U56" s="1"/>
      <c r="V56" s="1"/>
      <c r="W56" s="1"/>
      <c r="X56" s="1"/>
    </row>
    <row r="57" spans="1:24">
      <c r="A57" s="1" t="s">
        <v>155</v>
      </c>
      <c r="B57" s="30" t="str">
        <f>IF(Plan_Produccion!$B$14="","",Plan_Produccion!$B$14)</f>
        <v/>
      </c>
      <c r="C57" s="30" t="str">
        <f>IF(B57="","",Plan_Produccion!$D$14)</f>
        <v/>
      </c>
      <c r="D57" s="30" t="str">
        <f>IF(B57="","",IF(COUNT(Plan_Compras!$M$70:$M$78)=0,"",SUM(Plan_Compras!$M$70:$M$78)))</f>
        <v/>
      </c>
      <c r="E57" s="30" t="str">
        <f>IF(B57="","",Plan_Produccion!$E$14)</f>
        <v/>
      </c>
      <c r="F57" s="29"/>
      <c r="G57" s="32" t="str">
        <f t="shared" si="0"/>
        <v/>
      </c>
      <c r="H57" s="35" t="str">
        <f t="shared" si="1"/>
        <v/>
      </c>
      <c r="I57" s="35" t="str">
        <f t="shared" si="2"/>
        <v/>
      </c>
      <c r="J57" s="33" t="str">
        <f>IF(B57="","",IF(COUNT(Plan_Compras!$N$70:$N$78)=0,"",SUM(Plan_Compras!$N$70:$N$78)))</f>
        <v/>
      </c>
      <c r="K57" s="34" t="str">
        <f t="shared" si="3"/>
        <v/>
      </c>
      <c r="L57" s="36"/>
      <c r="M57" s="36"/>
      <c r="N57" s="36"/>
      <c r="O57" s="34" t="str">
        <f t="shared" si="4"/>
        <v/>
      </c>
      <c r="P57" s="20" t="str">
        <f>IF(OR(F57="",H57=""),"",IF(ABS(H57)&lt;=Supuestos!$B$13,"OK",IF(H57&gt;Supuestos!$B$13,"ALERTA – MERMA SUPERIOR A LA ESPERADA","ALERTA – MERMA INFERIOR A LA ESPERADA")))</f>
        <v/>
      </c>
      <c r="Q57" s="1"/>
      <c r="R57" s="1"/>
      <c r="S57" s="1"/>
      <c r="T57" s="1"/>
      <c r="U57" s="1"/>
      <c r="V57" s="1"/>
      <c r="W57" s="1"/>
      <c r="X57" s="1"/>
    </row>
    <row r="58" spans="1:24">
      <c r="A58" s="1" t="s">
        <v>156</v>
      </c>
      <c r="B58" s="30" t="str">
        <f>IF(Plan_Produccion!$B$15="","",Plan_Produccion!$B$15)</f>
        <v/>
      </c>
      <c r="C58" s="30" t="str">
        <f>IF(B58="","",Plan_Produccion!$D$15)</f>
        <v/>
      </c>
      <c r="D58" s="30" t="str">
        <f>IF(B58="","",IF(COUNT(Plan_Compras!$M$79:$M$87)=0,"",SUM(Plan_Compras!$M$79:$M$87)))</f>
        <v/>
      </c>
      <c r="E58" s="30" t="str">
        <f>IF(B58="","",Plan_Produccion!$E$15)</f>
        <v/>
      </c>
      <c r="F58" s="29"/>
      <c r="G58" s="32" t="str">
        <f t="shared" si="0"/>
        <v/>
      </c>
      <c r="H58" s="35" t="str">
        <f t="shared" si="1"/>
        <v/>
      </c>
      <c r="I58" s="35" t="str">
        <f t="shared" si="2"/>
        <v/>
      </c>
      <c r="J58" s="33" t="str">
        <f>IF(B58="","",IF(COUNT(Plan_Compras!$N$79:$N$87)=0,"",SUM(Plan_Compras!$N$79:$N$87)))</f>
        <v/>
      </c>
      <c r="K58" s="34" t="str">
        <f t="shared" si="3"/>
        <v/>
      </c>
      <c r="L58" s="36"/>
      <c r="M58" s="36"/>
      <c r="N58" s="36"/>
      <c r="O58" s="34" t="str">
        <f t="shared" si="4"/>
        <v/>
      </c>
      <c r="P58" s="20" t="str">
        <f>IF(OR(F58="",H58=""),"",IF(ABS(H58)&lt;=Supuestos!$B$13,"OK",IF(H58&gt;Supuestos!$B$13,"ALERTA – MERMA SUPERIOR A LA ESPERADA","ALERTA – MERMA INFERIOR A LA ESPERADA")))</f>
        <v/>
      </c>
      <c r="Q58" s="1"/>
      <c r="R58" s="1"/>
      <c r="S58" s="1"/>
      <c r="T58" s="1"/>
      <c r="U58" s="1"/>
      <c r="V58" s="1"/>
      <c r="W58" s="1"/>
      <c r="X58" s="1"/>
    </row>
    <row r="59" spans="1:24">
      <c r="A59" s="1" t="s">
        <v>157</v>
      </c>
      <c r="B59" s="30" t="str">
        <f>IF(Plan_Produccion!$B$16="","",Plan_Produccion!$B$16)</f>
        <v/>
      </c>
      <c r="C59" s="30" t="str">
        <f>IF(B59="","",Plan_Produccion!$D$16)</f>
        <v/>
      </c>
      <c r="D59" s="30" t="str">
        <f>IF(B59="","",IF(COUNT(Plan_Compras!$M$88:$M$96)=0,"",SUM(Plan_Compras!$M$88:$M$96)))</f>
        <v/>
      </c>
      <c r="E59" s="30" t="str">
        <f>IF(B59="","",Plan_Produccion!$E$16)</f>
        <v/>
      </c>
      <c r="F59" s="29"/>
      <c r="G59" s="32" t="str">
        <f t="shared" si="0"/>
        <v/>
      </c>
      <c r="H59" s="35" t="str">
        <f t="shared" si="1"/>
        <v/>
      </c>
      <c r="I59" s="35" t="str">
        <f t="shared" si="2"/>
        <v/>
      </c>
      <c r="J59" s="33" t="str">
        <f>IF(B59="","",IF(COUNT(Plan_Compras!$N$88:$N$96)=0,"",SUM(Plan_Compras!$N$88:$N$96)))</f>
        <v/>
      </c>
      <c r="K59" s="34" t="str">
        <f t="shared" si="3"/>
        <v/>
      </c>
      <c r="L59" s="36"/>
      <c r="M59" s="36"/>
      <c r="N59" s="36"/>
      <c r="O59" s="34" t="str">
        <f t="shared" si="4"/>
        <v/>
      </c>
      <c r="P59" s="20" t="str">
        <f>IF(OR(F59="",H59=""),"",IF(ABS(H59)&lt;=Supuestos!$B$13,"OK",IF(H59&gt;Supuestos!$B$13,"ALERTA – MERMA SUPERIOR A LA ESPERADA","ALERTA – MERMA INFERIOR A LA ESPERADA")))</f>
        <v/>
      </c>
      <c r="Q59" s="1"/>
      <c r="R59" s="1"/>
      <c r="S59" s="1"/>
      <c r="T59" s="1"/>
      <c r="U59" s="1"/>
      <c r="V59" s="1"/>
      <c r="W59" s="1"/>
      <c r="X59" s="1"/>
    </row>
    <row r="60" spans="1:24">
      <c r="A60" s="1" t="s">
        <v>158</v>
      </c>
      <c r="B60" s="30" t="str">
        <f>IF(Plan_Produccion!$B$17="","",Plan_Produccion!$B$17)</f>
        <v/>
      </c>
      <c r="C60" s="30" t="str">
        <f>IF(B60="","",Plan_Produccion!$D$17)</f>
        <v/>
      </c>
      <c r="D60" s="30" t="str">
        <f>IF(B60="","",IF(COUNT(Plan_Compras!$M$97:$M$105)=0,"",SUM(Plan_Compras!$M$97:$M$105)))</f>
        <v/>
      </c>
      <c r="E60" s="30" t="str">
        <f>IF(B60="","",Plan_Produccion!$E$17)</f>
        <v/>
      </c>
      <c r="F60" s="29"/>
      <c r="G60" s="32" t="str">
        <f t="shared" si="0"/>
        <v/>
      </c>
      <c r="H60" s="35" t="str">
        <f t="shared" si="1"/>
        <v/>
      </c>
      <c r="I60" s="35" t="str">
        <f t="shared" si="2"/>
        <v/>
      </c>
      <c r="J60" s="33" t="str">
        <f>IF(B60="","",IF(COUNT(Plan_Compras!$N$97:$N$105)=0,"",SUM(Plan_Compras!$N$97:$N$105)))</f>
        <v/>
      </c>
      <c r="K60" s="34" t="str">
        <f t="shared" si="3"/>
        <v/>
      </c>
      <c r="L60" s="36"/>
      <c r="M60" s="36"/>
      <c r="N60" s="36"/>
      <c r="O60" s="34" t="str">
        <f t="shared" si="4"/>
        <v/>
      </c>
      <c r="P60" s="20" t="str">
        <f>IF(OR(F60="",H60=""),"",IF(ABS(H60)&lt;=Supuestos!$B$13,"OK",IF(H60&gt;Supuestos!$B$13,"ALERTA – MERMA SUPERIOR A LA ESPERADA","ALERTA – MERMA INFERIOR A LA ESPERADA")))</f>
        <v/>
      </c>
      <c r="Q60" s="1"/>
      <c r="R60" s="1"/>
      <c r="S60" s="1"/>
      <c r="T60" s="1"/>
      <c r="U60" s="1"/>
      <c r="V60" s="1"/>
      <c r="W60" s="1"/>
      <c r="X60" s="1"/>
    </row>
    <row r="61" spans="1:24">
      <c r="A61" s="1" t="s">
        <v>159</v>
      </c>
      <c r="B61" s="30" t="str">
        <f>IF(Plan_Produccion!$B$18="","",Plan_Produccion!$B$18)</f>
        <v/>
      </c>
      <c r="C61" s="30" t="str">
        <f>IF(B61="","",Plan_Produccion!$D$18)</f>
        <v/>
      </c>
      <c r="D61" s="30" t="str">
        <f>IF(B61="","",IF(COUNT(Plan_Compras!$M$106:$M$114)=0,"",SUM(Plan_Compras!$M$106:$M$114)))</f>
        <v/>
      </c>
      <c r="E61" s="30" t="str">
        <f>IF(B61="","",Plan_Produccion!$E$18)</f>
        <v/>
      </c>
      <c r="F61" s="29"/>
      <c r="G61" s="32" t="str">
        <f t="shared" si="0"/>
        <v/>
      </c>
      <c r="H61" s="35" t="str">
        <f t="shared" si="1"/>
        <v/>
      </c>
      <c r="I61" s="35" t="str">
        <f t="shared" si="2"/>
        <v/>
      </c>
      <c r="J61" s="33" t="str">
        <f>IF(B61="","",IF(COUNT(Plan_Compras!$N$106:$N$114)=0,"",SUM(Plan_Compras!$N$106:$N$114)))</f>
        <v/>
      </c>
      <c r="K61" s="34" t="str">
        <f t="shared" si="3"/>
        <v/>
      </c>
      <c r="L61" s="36"/>
      <c r="M61" s="36"/>
      <c r="N61" s="36"/>
      <c r="O61" s="34" t="str">
        <f t="shared" si="4"/>
        <v/>
      </c>
      <c r="P61" s="20" t="str">
        <f>IF(OR(F61="",H61=""),"",IF(ABS(H61)&lt;=Supuestos!$B$13,"OK",IF(H61&gt;Supuestos!$B$13,"ALERTA – MERMA SUPERIOR A LA ESPERADA","ALERTA – MERMA INFERIOR A LA ESPERADA")))</f>
        <v/>
      </c>
      <c r="Q61" s="1"/>
      <c r="R61" s="1"/>
      <c r="S61" s="1"/>
      <c r="T61" s="1"/>
      <c r="U61" s="1"/>
      <c r="V61" s="1"/>
      <c r="W61" s="1"/>
      <c r="X61" s="1"/>
    </row>
    <row r="62" spans="1:24">
      <c r="A62" s="1"/>
      <c r="B62" s="1"/>
      <c r="C62" s="1"/>
      <c r="D62" s="1"/>
      <c r="E62" s="1"/>
      <c r="F62" s="1"/>
      <c r="G62" s="1"/>
      <c r="H62" s="1"/>
      <c r="I62" s="1"/>
      <c r="J62" s="1"/>
      <c r="K62" s="1"/>
      <c r="L62" s="1"/>
      <c r="M62" s="1"/>
      <c r="N62" s="1"/>
      <c r="O62" s="1"/>
      <c r="P62" s="1"/>
      <c r="Q62" s="1"/>
      <c r="R62" s="1"/>
      <c r="S62" s="1"/>
      <c r="T62" s="1"/>
      <c r="U62" s="1"/>
      <c r="V62" s="1"/>
      <c r="W62" s="1"/>
      <c r="X62" s="1"/>
    </row>
    <row r="63" spans="1:24">
      <c r="A63" s="1"/>
      <c r="B63" s="1"/>
      <c r="C63" s="1"/>
      <c r="D63" s="1"/>
      <c r="E63" s="1"/>
      <c r="F63" s="1"/>
      <c r="G63" s="1"/>
      <c r="H63" s="1"/>
      <c r="I63" s="1"/>
      <c r="J63" s="1"/>
      <c r="K63" s="1"/>
      <c r="L63" s="1"/>
      <c r="M63" s="1"/>
      <c r="N63" s="1"/>
      <c r="O63" s="1"/>
      <c r="P63" s="1"/>
      <c r="Q63" s="1"/>
      <c r="R63" s="1"/>
      <c r="S63" s="1"/>
      <c r="T63" s="1"/>
      <c r="U63" s="1"/>
      <c r="V63" s="1"/>
      <c r="W63" s="1"/>
      <c r="X63" s="1"/>
    </row>
    <row r="64" spans="1:24">
      <c r="A64" s="19" t="s">
        <v>173</v>
      </c>
      <c r="B64" s="19"/>
      <c r="C64" s="19"/>
      <c r="D64" s="19"/>
      <c r="E64" s="19"/>
      <c r="F64" s="19"/>
      <c r="G64" s="19"/>
      <c r="H64" s="19"/>
      <c r="I64" s="19"/>
      <c r="J64" s="19"/>
      <c r="K64" s="19"/>
      <c r="L64" s="1"/>
      <c r="M64" s="1"/>
      <c r="N64" s="1"/>
      <c r="O64" s="1"/>
      <c r="P64" s="1"/>
      <c r="Q64" s="1"/>
      <c r="R64" s="1"/>
      <c r="S64" s="1"/>
      <c r="T64" s="1"/>
      <c r="U64" s="1"/>
      <c r="V64" s="1"/>
      <c r="W64" s="1"/>
      <c r="X64" s="1"/>
    </row>
    <row r="65" spans="1:24">
      <c r="A65" s="1"/>
      <c r="B65" s="1"/>
      <c r="C65" s="1"/>
      <c r="D65" s="1"/>
      <c r="E65" s="1"/>
      <c r="F65" s="1"/>
      <c r="G65" s="1"/>
      <c r="H65" s="1"/>
      <c r="I65" s="1"/>
      <c r="J65" s="1"/>
      <c r="K65" s="1"/>
      <c r="L65" s="1"/>
      <c r="M65" s="1"/>
      <c r="N65" s="1"/>
      <c r="O65" s="1"/>
      <c r="P65" s="1"/>
      <c r="Q65" s="1"/>
      <c r="R65" s="1"/>
      <c r="S65" s="1"/>
      <c r="T65" s="1"/>
      <c r="U65" s="1"/>
      <c r="V65" s="1"/>
      <c r="W65" s="1"/>
      <c r="X65" s="1"/>
    </row>
    <row r="66" spans="1:24" ht="42" customHeight="1">
      <c r="A66" s="8" t="s">
        <v>71</v>
      </c>
      <c r="B66" s="9" t="s">
        <v>174</v>
      </c>
      <c r="C66" s="9" t="s">
        <v>113</v>
      </c>
      <c r="D66" s="9" t="s">
        <v>114</v>
      </c>
      <c r="E66" s="9" t="s">
        <v>115</v>
      </c>
      <c r="F66" s="9" t="s">
        <v>175</v>
      </c>
      <c r="G66" s="9" t="s">
        <v>176</v>
      </c>
      <c r="H66" s="9" t="s">
        <v>177</v>
      </c>
      <c r="I66" s="9" t="s">
        <v>178</v>
      </c>
      <c r="J66" s="9" t="s">
        <v>101</v>
      </c>
      <c r="K66" s="10" t="s">
        <v>139</v>
      </c>
      <c r="L66" s="1"/>
      <c r="M66" s="1"/>
      <c r="N66" s="1"/>
      <c r="O66" s="1"/>
      <c r="P66" s="1"/>
      <c r="Q66" s="1"/>
      <c r="R66" s="1"/>
      <c r="S66" s="1"/>
      <c r="T66" s="1"/>
      <c r="U66" s="1"/>
      <c r="V66" s="1"/>
      <c r="W66" s="1"/>
      <c r="X66" s="1"/>
    </row>
    <row r="67" spans="1:24">
      <c r="A67" s="23" t="str">
        <f>Maestro_Ingredientes!$B$7</f>
        <v>Tomate pera</v>
      </c>
      <c r="B67" s="30">
        <f>IF(COUNT(Plan_Compras!$F$7,Plan_Compras!$F$16,Plan_Compras!$F$25,Plan_Compras!$F$34,Plan_Compras!$F$43,Plan_Compras!$F$52,Plan_Compras!$F$61,Plan_Compras!$F$70,Plan_Compras!$F$79,Plan_Compras!$F$88,Plan_Compras!$F$97,Plan_Compras!$F$106)=0,"",SUM(Plan_Compras!$F$7,Plan_Compras!$F$16,Plan_Compras!$F$25,Plan_Compras!$F$34,Plan_Compras!$F$43,Plan_Compras!$F$52,Plan_Compras!$F$61,Plan_Compras!$F$70,Plan_Compras!$F$79,Plan_Compras!$F$88,Plan_Compras!$F$97,Plan_Compras!$F$106))</f>
        <v>76413.043478260865</v>
      </c>
      <c r="C67" s="30">
        <f>IF(COUNT(Plan_Compras!$M$7,Plan_Compras!$M$16,Plan_Compras!$M$25,Plan_Compras!$M$34,Plan_Compras!$M$43,Plan_Compras!$M$52,Plan_Compras!$M$61,Plan_Compras!$M$70,Plan_Compras!$M$79,Plan_Compras!$M$88,Plan_Compras!$M$97,Plan_Compras!$M$106)=0,"",SUM(Plan_Compras!$M$7,Plan_Compras!$M$16,Plan_Compras!$M$25,Plan_Compras!$M$34,Plan_Compras!$M$43,Plan_Compras!$M$52,Plan_Compras!$M$61,Plan_Compras!$M$70,Plan_Compras!$M$79,Plan_Compras!$M$88,Plan_Compras!$M$97,Plan_Compras!$M$106))</f>
        <v>76413.043478260865</v>
      </c>
      <c r="D67" s="30" t="str">
        <f>IF(COUNT(Plan_Compras!$N$7,Plan_Compras!$N$16,Plan_Compras!$N$25,Plan_Compras!$N$34,Plan_Compras!$N$43,Plan_Compras!$N$52,Plan_Compras!$N$61,Plan_Compras!$N$70,Plan_Compras!$N$79,Plan_Compras!$N$88,Plan_Compras!$N$97,Plan_Compras!$N$106)=0,"",SUM(Plan_Compras!$N$7,Plan_Compras!$N$16,Plan_Compras!$N$25,Plan_Compras!$N$34,Plan_Compras!$N$43,Plan_Compras!$N$52,Plan_Compras!$N$61,Plan_Compras!$N$70,Plan_Compras!$N$79,Plan_Compras!$N$88,Plan_Compras!$N$97,Plan_Compras!$N$106))</f>
        <v/>
      </c>
      <c r="E67" s="45" t="str">
        <f>IF(OR(C67="",C67=0,OR(AND(Plan_Compras!$G$7&gt;0,Plan_Compras!$H$7=""),AND(Plan_Compras!$J$7&gt;0,Plan_Compras!$K$7=""),AND(Plan_Compras!$G$16&gt;0,Plan_Compras!$H$16=""),AND(Plan_Compras!$J$16&gt;0,Plan_Compras!$K$16=""),AND(Plan_Compras!$G$25&gt;0,Plan_Compras!$H$25=""),AND(Plan_Compras!$J$25&gt;0,Plan_Compras!$K$25=""),AND(Plan_Compras!$G$34&gt;0,Plan_Compras!$H$34=""),AND(Plan_Compras!$J$34&gt;0,Plan_Compras!$K$34=""),AND(Plan_Compras!$G$43&gt;0,Plan_Compras!$H$43=""),AND(Plan_Compras!$J$43&gt;0,Plan_Compras!$K$43=""),AND(Plan_Compras!$G$52&gt;0,Plan_Compras!$H$52=""),AND(Plan_Compras!$J$52&gt;0,Plan_Compras!$K$52=""),AND(Plan_Compras!$G$61&gt;0,Plan_Compras!$H$61=""),AND(Plan_Compras!$J$61&gt;0,Plan_Compras!$K$61=""),AND(Plan_Compras!$G$70&gt;0,Plan_Compras!$H$70=""),AND(Plan_Compras!$J$70&gt;0,Plan_Compras!$K$70=""),AND(Plan_Compras!$G$79&gt;0,Plan_Compras!$H$79=""),AND(Plan_Compras!$J$79&gt;0,Plan_Compras!$K$79=""),AND(Plan_Compras!$G$88&gt;0,Plan_Compras!$H$88=""),AND(Plan_Compras!$J$88&gt;0,Plan_Compras!$K$88=""),AND(Plan_Compras!$G$97&gt;0,Plan_Compras!$H$97=""),AND(Plan_Compras!$J$97&gt;0,Plan_Compras!$K$97=""),AND(Plan_Compras!$G$106&gt;0,Plan_Compras!$H$106=""),AND(Plan_Compras!$J$106&gt;0,Plan_Compras!$K$106=""))),"",D67/C67)</f>
        <v/>
      </c>
      <c r="F67" s="45" t="str">
        <f>IF(OR(E67="",OR(AND(Plan_Compras!$G$7&gt;0,Plan_Compras!$H$7=""),AND(Plan_Compras!$J$7&gt;0,Plan_Compras!$K$7=""),AND(Plan_Compras!$G$16&gt;0,Plan_Compras!$H$16=""),AND(Plan_Compras!$J$16&gt;0,Plan_Compras!$K$16=""),AND(Plan_Compras!$G$25&gt;0,Plan_Compras!$H$25=""),AND(Plan_Compras!$J$25&gt;0,Plan_Compras!$K$25=""),AND(Plan_Compras!$G$34&gt;0,Plan_Compras!$H$34=""),AND(Plan_Compras!$J$34&gt;0,Plan_Compras!$K$34=""),AND(Plan_Compras!$G$43&gt;0,Plan_Compras!$H$43=""),AND(Plan_Compras!$J$43&gt;0,Plan_Compras!$K$43=""),AND(Plan_Compras!$G$52&gt;0,Plan_Compras!$H$52=""),AND(Plan_Compras!$J$52&gt;0,Plan_Compras!$K$52=""),AND(Plan_Compras!$G$61&gt;0,Plan_Compras!$H$61=""),AND(Plan_Compras!$J$61&gt;0,Plan_Compras!$K$61=""),AND(Plan_Compras!$G$70&gt;0,Plan_Compras!$H$70=""),AND(Plan_Compras!$J$70&gt;0,Plan_Compras!$K$70=""),AND(Plan_Compras!$G$79&gt;0,Plan_Compras!$H$79=""),AND(Plan_Compras!$J$79&gt;0,Plan_Compras!$K$79=""),AND(Plan_Compras!$G$88&gt;0,Plan_Compras!$H$88=""),AND(Plan_Compras!$J$88&gt;0,Plan_Compras!$K$88=""),AND(Plan_Compras!$G$97&gt;0,Plan_Compras!$H$97=""),AND(Plan_Compras!$J$97&gt;0,Plan_Compras!$K$97=""),AND(Plan_Compras!$G$106&gt;0,Plan_Compras!$H$106=""),AND(Plan_Compras!$J$106&gt;0,Plan_Compras!$K$106=""))),"",MIN(IF(Plan_Compras!$G$7&gt;0,Plan_Compras!$H$7,1E+99),IF(Plan_Compras!$J$7&gt;0,Plan_Compras!$K$7,1E+99),IF(Plan_Compras!$G$16&gt;0,Plan_Compras!$H$16,1E+99),IF(Plan_Compras!$J$16&gt;0,Plan_Compras!$K$16,1E+99),IF(Plan_Compras!$G$25&gt;0,Plan_Compras!$H$25,1E+99),IF(Plan_Compras!$J$25&gt;0,Plan_Compras!$K$25,1E+99),IF(Plan_Compras!$G$34&gt;0,Plan_Compras!$H$34,1E+99),IF(Plan_Compras!$J$34&gt;0,Plan_Compras!$K$34,1E+99),IF(Plan_Compras!$G$43&gt;0,Plan_Compras!$H$43,1E+99),IF(Plan_Compras!$J$43&gt;0,Plan_Compras!$K$43,1E+99),IF(Plan_Compras!$G$52&gt;0,Plan_Compras!$H$52,1E+99),IF(Plan_Compras!$J$52&gt;0,Plan_Compras!$K$52,1E+99),IF(Plan_Compras!$G$61&gt;0,Plan_Compras!$H$61,1E+99),IF(Plan_Compras!$J$61&gt;0,Plan_Compras!$K$61,1E+99),IF(Plan_Compras!$G$70&gt;0,Plan_Compras!$H$70,1E+99),IF(Plan_Compras!$J$70&gt;0,Plan_Compras!$K$70,1E+99),IF(Plan_Compras!$G$79&gt;0,Plan_Compras!$H$79,1E+99),IF(Plan_Compras!$J$79&gt;0,Plan_Compras!$K$79,1E+99),IF(Plan_Compras!$G$88&gt;0,Plan_Compras!$H$88,1E+99),IF(Plan_Compras!$J$88&gt;0,Plan_Compras!$K$88,1E+99),IF(Plan_Compras!$G$97&gt;0,Plan_Compras!$H$97,1E+99),IF(Plan_Compras!$J$97&gt;0,Plan_Compras!$K$97,1E+99),IF(Plan_Compras!$G$106&gt;0,Plan_Compras!$H$106,1E+99),IF(Plan_Compras!$J$106&gt;0,Plan_Compras!$K$106,1E+99)))</f>
        <v/>
      </c>
      <c r="G67" s="45" t="str">
        <f>IF(OR(E67="",OR(AND(Plan_Compras!$G$7&gt;0,Plan_Compras!$H$7=""),AND(Plan_Compras!$J$7&gt;0,Plan_Compras!$K$7=""),AND(Plan_Compras!$G$16&gt;0,Plan_Compras!$H$16=""),AND(Plan_Compras!$J$16&gt;0,Plan_Compras!$K$16=""),AND(Plan_Compras!$G$25&gt;0,Plan_Compras!$H$25=""),AND(Plan_Compras!$J$25&gt;0,Plan_Compras!$K$25=""),AND(Plan_Compras!$G$34&gt;0,Plan_Compras!$H$34=""),AND(Plan_Compras!$J$34&gt;0,Plan_Compras!$K$34=""),AND(Plan_Compras!$G$43&gt;0,Plan_Compras!$H$43=""),AND(Plan_Compras!$J$43&gt;0,Plan_Compras!$K$43=""),AND(Plan_Compras!$G$52&gt;0,Plan_Compras!$H$52=""),AND(Plan_Compras!$J$52&gt;0,Plan_Compras!$K$52=""),AND(Plan_Compras!$G$61&gt;0,Plan_Compras!$H$61=""),AND(Plan_Compras!$J$61&gt;0,Plan_Compras!$K$61=""),AND(Plan_Compras!$G$70&gt;0,Plan_Compras!$H$70=""),AND(Plan_Compras!$J$70&gt;0,Plan_Compras!$K$70=""),AND(Plan_Compras!$G$79&gt;0,Plan_Compras!$H$79=""),AND(Plan_Compras!$J$79&gt;0,Plan_Compras!$K$79=""),AND(Plan_Compras!$G$88&gt;0,Plan_Compras!$H$88=""),AND(Plan_Compras!$J$88&gt;0,Plan_Compras!$K$88=""),AND(Plan_Compras!$G$97&gt;0,Plan_Compras!$H$97=""),AND(Plan_Compras!$J$97&gt;0,Plan_Compras!$K$97=""),AND(Plan_Compras!$G$106&gt;0,Plan_Compras!$H$106=""),AND(Plan_Compras!$J$106&gt;0,Plan_Compras!$K$106=""))),"",MAX(IF(Plan_Compras!$G$7&gt;0,Plan_Compras!$H$7,-1E+99),IF(Plan_Compras!$J$7&gt;0,Plan_Compras!$K$7,-1E+99),IF(Plan_Compras!$G$16&gt;0,Plan_Compras!$H$16,-1E+99),IF(Plan_Compras!$J$16&gt;0,Plan_Compras!$K$16,-1E+99),IF(Plan_Compras!$G$25&gt;0,Plan_Compras!$H$25,-1E+99),IF(Plan_Compras!$J$25&gt;0,Plan_Compras!$K$25,-1E+99),IF(Plan_Compras!$G$34&gt;0,Plan_Compras!$H$34,-1E+99),IF(Plan_Compras!$J$34&gt;0,Plan_Compras!$K$34,-1E+99),IF(Plan_Compras!$G$43&gt;0,Plan_Compras!$H$43,-1E+99),IF(Plan_Compras!$J$43&gt;0,Plan_Compras!$K$43,-1E+99),IF(Plan_Compras!$G$52&gt;0,Plan_Compras!$H$52,-1E+99),IF(Plan_Compras!$J$52&gt;0,Plan_Compras!$K$52,-1E+99),IF(Plan_Compras!$G$61&gt;0,Plan_Compras!$H$61,-1E+99),IF(Plan_Compras!$J$61&gt;0,Plan_Compras!$K$61,-1E+99),IF(Plan_Compras!$G$70&gt;0,Plan_Compras!$H$70,-1E+99),IF(Plan_Compras!$J$70&gt;0,Plan_Compras!$K$70,-1E+99),IF(Plan_Compras!$G$79&gt;0,Plan_Compras!$H$79,-1E+99),IF(Plan_Compras!$J$79&gt;0,Plan_Compras!$K$79,-1E+99),IF(Plan_Compras!$G$88&gt;0,Plan_Compras!$H$88,-1E+99),IF(Plan_Compras!$J$88&gt;0,Plan_Compras!$K$88,-1E+99),IF(Plan_Compras!$G$97&gt;0,Plan_Compras!$H$97,-1E+99),IF(Plan_Compras!$J$97&gt;0,Plan_Compras!$K$97,-1E+99),IF(Plan_Compras!$G$106&gt;0,Plan_Compras!$H$106,-1E+99),IF(Plan_Compras!$J$106&gt;0,Plan_Compras!$K$106,-1E+99)))</f>
        <v/>
      </c>
      <c r="H67" s="45" t="str">
        <f t="shared" ref="H67:H75" si="5">IF(OR(F67="",G67=""),"",G67-F67)</f>
        <v/>
      </c>
      <c r="I67" s="46" t="str">
        <f t="shared" ref="I67:I75" si="6">IF(OR(D67="",SUM($D$67:$D$75)=0),"",D67/SUM($D$67:$D$75))</f>
        <v/>
      </c>
      <c r="J67" s="30">
        <f>IF(COUNT(Plan_Compras!$F$7,Plan_Compras!$F$16,Plan_Compras!$F$25,Plan_Compras!$F$34,Plan_Compras!$F$43,Plan_Compras!$F$52,Plan_Compras!$F$61,Plan_Compras!$F$70,Plan_Compras!$F$79,Plan_Compras!$F$88,Plan_Compras!$F$97,Plan_Compras!$F$106)=0,"",SUM(Plan_Compras!$F$7,Plan_Compras!$F$16,Plan_Compras!$F$25,Plan_Compras!$F$34,Plan_Compras!$F$43,Plan_Compras!$F$52,Plan_Compras!$F$61,Plan_Compras!$F$70,Plan_Compras!$F$79,Plan_Compras!$F$88,Plan_Compras!$F$97,Plan_Compras!$F$106)-SUM(Plan_Compras!$E$7,Plan_Compras!$E$16,Plan_Compras!$E$25,Plan_Compras!$E$34,Plan_Compras!$E$43,Plan_Compras!$E$52,Plan_Compras!$E$61,Plan_Compras!$E$70,Plan_Compras!$E$79,Plan_Compras!$E$88,Plan_Compras!$E$97,Plan_Compras!$E$106))</f>
        <v>6113.0434782608645</v>
      </c>
      <c r="K67" s="47" t="str">
        <f t="shared" ref="K67:K75" si="7">IF(AND(ISNUMBER(E67),ISNUMBER(J67)),J67*E67,"")</f>
        <v/>
      </c>
      <c r="L67" s="1"/>
      <c r="M67" s="1"/>
      <c r="N67" s="1"/>
      <c r="O67" s="1"/>
      <c r="P67" s="1"/>
      <c r="Q67" s="1"/>
      <c r="R67" s="1"/>
      <c r="S67" s="1"/>
      <c r="T67" s="1"/>
      <c r="U67" s="1"/>
      <c r="V67" s="1"/>
      <c r="W67" s="1"/>
      <c r="X67" s="1"/>
    </row>
    <row r="68" spans="1:24">
      <c r="A68" s="23" t="str">
        <f>Maestro_Ingredientes!$B$8</f>
        <v>Pepino</v>
      </c>
      <c r="B68" s="30">
        <f>IF(COUNT(Plan_Compras!$F$8,Plan_Compras!$F$17,Plan_Compras!$F$26,Plan_Compras!$F$35,Plan_Compras!$F$44,Plan_Compras!$F$53,Plan_Compras!$F$62,Plan_Compras!$F$71,Plan_Compras!$F$80,Plan_Compras!$F$89,Plan_Compras!$F$98,Plan_Compras!$F$107)=0,"",SUM(Plan_Compras!$F$8,Plan_Compras!$F$17,Plan_Compras!$F$26,Plan_Compras!$F$35,Plan_Compras!$F$44,Plan_Compras!$F$53,Plan_Compras!$F$62,Plan_Compras!$F$71,Plan_Compras!$F$80,Plan_Compras!$F$89,Plan_Compras!$F$98,Plan_Compras!$F$107))</f>
        <v>13863.636363636364</v>
      </c>
      <c r="C68" s="30">
        <f>IF(COUNT(Plan_Compras!$M$8,Plan_Compras!$M$17,Plan_Compras!$M$26,Plan_Compras!$M$35,Plan_Compras!$M$44,Plan_Compras!$M$53,Plan_Compras!$M$62,Plan_Compras!$M$71,Plan_Compras!$M$80,Plan_Compras!$M$89,Plan_Compras!$M$98,Plan_Compras!$M$107)=0,"",SUM(Plan_Compras!$M$8,Plan_Compras!$M$17,Plan_Compras!$M$26,Plan_Compras!$M$35,Plan_Compras!$M$44,Plan_Compras!$M$53,Plan_Compras!$M$62,Plan_Compras!$M$71,Plan_Compras!$M$80,Plan_Compras!$M$89,Plan_Compras!$M$98,Plan_Compras!$M$107))</f>
        <v>13863.636363636364</v>
      </c>
      <c r="D68" s="30" t="str">
        <f>IF(COUNT(Plan_Compras!$N$8,Plan_Compras!$N$17,Plan_Compras!$N$26,Plan_Compras!$N$35,Plan_Compras!$N$44,Plan_Compras!$N$53,Plan_Compras!$N$62,Plan_Compras!$N$71,Plan_Compras!$N$80,Plan_Compras!$N$89,Plan_Compras!$N$98,Plan_Compras!$N$107)=0,"",SUM(Plan_Compras!$N$8,Plan_Compras!$N$17,Plan_Compras!$N$26,Plan_Compras!$N$35,Plan_Compras!$N$44,Plan_Compras!$N$53,Plan_Compras!$N$62,Plan_Compras!$N$71,Plan_Compras!$N$80,Plan_Compras!$N$89,Plan_Compras!$N$98,Plan_Compras!$N$107))</f>
        <v/>
      </c>
      <c r="E68" s="45" t="str">
        <f>IF(OR(C68="",C68=0,OR(AND(Plan_Compras!$G$8&gt;0,Plan_Compras!$H$8=""),AND(Plan_Compras!$J$8&gt;0,Plan_Compras!$K$8=""),AND(Plan_Compras!$G$17&gt;0,Plan_Compras!$H$17=""),AND(Plan_Compras!$J$17&gt;0,Plan_Compras!$K$17=""),AND(Plan_Compras!$G$26&gt;0,Plan_Compras!$H$26=""),AND(Plan_Compras!$J$26&gt;0,Plan_Compras!$K$26=""),AND(Plan_Compras!$G$35&gt;0,Plan_Compras!$H$35=""),AND(Plan_Compras!$J$35&gt;0,Plan_Compras!$K$35=""),AND(Plan_Compras!$G$44&gt;0,Plan_Compras!$H$44=""),AND(Plan_Compras!$J$44&gt;0,Plan_Compras!$K$44=""),AND(Plan_Compras!$G$53&gt;0,Plan_Compras!$H$53=""),AND(Plan_Compras!$J$53&gt;0,Plan_Compras!$K$53=""),AND(Plan_Compras!$G$62&gt;0,Plan_Compras!$H$62=""),AND(Plan_Compras!$J$62&gt;0,Plan_Compras!$K$62=""),AND(Plan_Compras!$G$71&gt;0,Plan_Compras!$H$71=""),AND(Plan_Compras!$J$71&gt;0,Plan_Compras!$K$71=""),AND(Plan_Compras!$G$80&gt;0,Plan_Compras!$H$80=""),AND(Plan_Compras!$J$80&gt;0,Plan_Compras!$K$80=""),AND(Plan_Compras!$G$89&gt;0,Plan_Compras!$H$89=""),AND(Plan_Compras!$J$89&gt;0,Plan_Compras!$K$89=""),AND(Plan_Compras!$G$98&gt;0,Plan_Compras!$H$98=""),AND(Plan_Compras!$J$98&gt;0,Plan_Compras!$K$98=""),AND(Plan_Compras!$G$107&gt;0,Plan_Compras!$H$107=""),AND(Plan_Compras!$J$107&gt;0,Plan_Compras!$K$107=""))),"",D68/C68)</f>
        <v/>
      </c>
      <c r="F68" s="45" t="str">
        <f>IF(OR(E68="",OR(AND(Plan_Compras!$G$8&gt;0,Plan_Compras!$H$8=""),AND(Plan_Compras!$J$8&gt;0,Plan_Compras!$K$8=""),AND(Plan_Compras!$G$17&gt;0,Plan_Compras!$H$17=""),AND(Plan_Compras!$J$17&gt;0,Plan_Compras!$K$17=""),AND(Plan_Compras!$G$26&gt;0,Plan_Compras!$H$26=""),AND(Plan_Compras!$J$26&gt;0,Plan_Compras!$K$26=""),AND(Plan_Compras!$G$35&gt;0,Plan_Compras!$H$35=""),AND(Plan_Compras!$J$35&gt;0,Plan_Compras!$K$35=""),AND(Plan_Compras!$G$44&gt;0,Plan_Compras!$H$44=""),AND(Plan_Compras!$J$44&gt;0,Plan_Compras!$K$44=""),AND(Plan_Compras!$G$53&gt;0,Plan_Compras!$H$53=""),AND(Plan_Compras!$J$53&gt;0,Plan_Compras!$K$53=""),AND(Plan_Compras!$G$62&gt;0,Plan_Compras!$H$62=""),AND(Plan_Compras!$J$62&gt;0,Plan_Compras!$K$62=""),AND(Plan_Compras!$G$71&gt;0,Plan_Compras!$H$71=""),AND(Plan_Compras!$J$71&gt;0,Plan_Compras!$K$71=""),AND(Plan_Compras!$G$80&gt;0,Plan_Compras!$H$80=""),AND(Plan_Compras!$J$80&gt;0,Plan_Compras!$K$80=""),AND(Plan_Compras!$G$89&gt;0,Plan_Compras!$H$89=""),AND(Plan_Compras!$J$89&gt;0,Plan_Compras!$K$89=""),AND(Plan_Compras!$G$98&gt;0,Plan_Compras!$H$98=""),AND(Plan_Compras!$J$98&gt;0,Plan_Compras!$K$98=""),AND(Plan_Compras!$G$107&gt;0,Plan_Compras!$H$107=""),AND(Plan_Compras!$J$107&gt;0,Plan_Compras!$K$107=""))),"",MIN(IF(Plan_Compras!$G$8&gt;0,Plan_Compras!$H$8,1E+99),IF(Plan_Compras!$J$8&gt;0,Plan_Compras!$K$8,1E+99),IF(Plan_Compras!$G$17&gt;0,Plan_Compras!$H$17,1E+99),IF(Plan_Compras!$J$17&gt;0,Plan_Compras!$K$17,1E+99),IF(Plan_Compras!$G$26&gt;0,Plan_Compras!$H$26,1E+99),IF(Plan_Compras!$J$26&gt;0,Plan_Compras!$K$26,1E+99),IF(Plan_Compras!$G$35&gt;0,Plan_Compras!$H$35,1E+99),IF(Plan_Compras!$J$35&gt;0,Plan_Compras!$K$35,1E+99),IF(Plan_Compras!$G$44&gt;0,Plan_Compras!$H$44,1E+99),IF(Plan_Compras!$J$44&gt;0,Plan_Compras!$K$44,1E+99),IF(Plan_Compras!$G$53&gt;0,Plan_Compras!$H$53,1E+99),IF(Plan_Compras!$J$53&gt;0,Plan_Compras!$K$53,1E+99),IF(Plan_Compras!$G$62&gt;0,Plan_Compras!$H$62,1E+99),IF(Plan_Compras!$J$62&gt;0,Plan_Compras!$K$62,1E+99),IF(Plan_Compras!$G$71&gt;0,Plan_Compras!$H$71,1E+99),IF(Plan_Compras!$J$71&gt;0,Plan_Compras!$K$71,1E+99),IF(Plan_Compras!$G$80&gt;0,Plan_Compras!$H$80,1E+99),IF(Plan_Compras!$J$80&gt;0,Plan_Compras!$K$80,1E+99),IF(Plan_Compras!$G$89&gt;0,Plan_Compras!$H$89,1E+99),IF(Plan_Compras!$J$89&gt;0,Plan_Compras!$K$89,1E+99),IF(Plan_Compras!$G$98&gt;0,Plan_Compras!$H$98,1E+99),IF(Plan_Compras!$J$98&gt;0,Plan_Compras!$K$98,1E+99),IF(Plan_Compras!$G$107&gt;0,Plan_Compras!$H$107,1E+99),IF(Plan_Compras!$J$107&gt;0,Plan_Compras!$K$107,1E+99)))</f>
        <v/>
      </c>
      <c r="G68" s="45" t="str">
        <f>IF(OR(E68="",OR(AND(Plan_Compras!$G$8&gt;0,Plan_Compras!$H$8=""),AND(Plan_Compras!$J$8&gt;0,Plan_Compras!$K$8=""),AND(Plan_Compras!$G$17&gt;0,Plan_Compras!$H$17=""),AND(Plan_Compras!$J$17&gt;0,Plan_Compras!$K$17=""),AND(Plan_Compras!$G$26&gt;0,Plan_Compras!$H$26=""),AND(Plan_Compras!$J$26&gt;0,Plan_Compras!$K$26=""),AND(Plan_Compras!$G$35&gt;0,Plan_Compras!$H$35=""),AND(Plan_Compras!$J$35&gt;0,Plan_Compras!$K$35=""),AND(Plan_Compras!$G$44&gt;0,Plan_Compras!$H$44=""),AND(Plan_Compras!$J$44&gt;0,Plan_Compras!$K$44=""),AND(Plan_Compras!$G$53&gt;0,Plan_Compras!$H$53=""),AND(Plan_Compras!$J$53&gt;0,Plan_Compras!$K$53=""),AND(Plan_Compras!$G$62&gt;0,Plan_Compras!$H$62=""),AND(Plan_Compras!$J$62&gt;0,Plan_Compras!$K$62=""),AND(Plan_Compras!$G$71&gt;0,Plan_Compras!$H$71=""),AND(Plan_Compras!$J$71&gt;0,Plan_Compras!$K$71=""),AND(Plan_Compras!$G$80&gt;0,Plan_Compras!$H$80=""),AND(Plan_Compras!$J$80&gt;0,Plan_Compras!$K$80=""),AND(Plan_Compras!$G$89&gt;0,Plan_Compras!$H$89=""),AND(Plan_Compras!$J$89&gt;0,Plan_Compras!$K$89=""),AND(Plan_Compras!$G$98&gt;0,Plan_Compras!$H$98=""),AND(Plan_Compras!$J$98&gt;0,Plan_Compras!$K$98=""),AND(Plan_Compras!$G$107&gt;0,Plan_Compras!$H$107=""),AND(Plan_Compras!$J$107&gt;0,Plan_Compras!$K$107=""))),"",MAX(IF(Plan_Compras!$G$8&gt;0,Plan_Compras!$H$8,-1E+99),IF(Plan_Compras!$J$8&gt;0,Plan_Compras!$K$8,-1E+99),IF(Plan_Compras!$G$17&gt;0,Plan_Compras!$H$17,-1E+99),IF(Plan_Compras!$J$17&gt;0,Plan_Compras!$K$17,-1E+99),IF(Plan_Compras!$G$26&gt;0,Plan_Compras!$H$26,-1E+99),IF(Plan_Compras!$J$26&gt;0,Plan_Compras!$K$26,-1E+99),IF(Plan_Compras!$G$35&gt;0,Plan_Compras!$H$35,-1E+99),IF(Plan_Compras!$J$35&gt;0,Plan_Compras!$K$35,-1E+99),IF(Plan_Compras!$G$44&gt;0,Plan_Compras!$H$44,-1E+99),IF(Plan_Compras!$J$44&gt;0,Plan_Compras!$K$44,-1E+99),IF(Plan_Compras!$G$53&gt;0,Plan_Compras!$H$53,-1E+99),IF(Plan_Compras!$J$53&gt;0,Plan_Compras!$K$53,-1E+99),IF(Plan_Compras!$G$62&gt;0,Plan_Compras!$H$62,-1E+99),IF(Plan_Compras!$J$62&gt;0,Plan_Compras!$K$62,-1E+99),IF(Plan_Compras!$G$71&gt;0,Plan_Compras!$H$71,-1E+99),IF(Plan_Compras!$J$71&gt;0,Plan_Compras!$K$71,-1E+99),IF(Plan_Compras!$G$80&gt;0,Plan_Compras!$H$80,-1E+99),IF(Plan_Compras!$J$80&gt;0,Plan_Compras!$K$80,-1E+99),IF(Plan_Compras!$G$89&gt;0,Plan_Compras!$H$89,-1E+99),IF(Plan_Compras!$J$89&gt;0,Plan_Compras!$K$89,-1E+99),IF(Plan_Compras!$G$98&gt;0,Plan_Compras!$H$98,-1E+99),IF(Plan_Compras!$J$98&gt;0,Plan_Compras!$K$98,-1E+99),IF(Plan_Compras!$G$107&gt;0,Plan_Compras!$H$107,-1E+99),IF(Plan_Compras!$J$107&gt;0,Plan_Compras!$K$107,-1E+99)))</f>
        <v/>
      </c>
      <c r="H68" s="45" t="str">
        <f t="shared" si="5"/>
        <v/>
      </c>
      <c r="I68" s="46" t="str">
        <f t="shared" si="6"/>
        <v/>
      </c>
      <c r="J68" s="30">
        <f>IF(COUNT(Plan_Compras!$F$8,Plan_Compras!$F$17,Plan_Compras!$F$26,Plan_Compras!$F$35,Plan_Compras!$F$44,Plan_Compras!$F$53,Plan_Compras!$F$62,Plan_Compras!$F$71,Plan_Compras!$F$80,Plan_Compras!$F$89,Plan_Compras!$F$98,Plan_Compras!$F$107)=0,"",SUM(Plan_Compras!$F$8,Plan_Compras!$F$17,Plan_Compras!$F$26,Plan_Compras!$F$35,Plan_Compras!$F$44,Plan_Compras!$F$53,Plan_Compras!$F$62,Plan_Compras!$F$71,Plan_Compras!$F$80,Plan_Compras!$F$89,Plan_Compras!$F$98,Plan_Compras!$F$107)-SUM(Plan_Compras!$E$8,Plan_Compras!$E$17,Plan_Compras!$E$26,Plan_Compras!$E$35,Plan_Compras!$E$44,Plan_Compras!$E$53,Plan_Compras!$E$62,Plan_Compras!$E$71,Plan_Compras!$E$80,Plan_Compras!$E$89,Plan_Compras!$E$98,Plan_Compras!$E$107))</f>
        <v>1663.636363636364</v>
      </c>
      <c r="K68" s="47" t="str">
        <f t="shared" si="7"/>
        <v/>
      </c>
      <c r="L68" s="1"/>
      <c r="M68" s="1"/>
      <c r="N68" s="1"/>
      <c r="O68" s="1"/>
      <c r="P68" s="1"/>
      <c r="Q68" s="1"/>
      <c r="R68" s="1"/>
      <c r="S68" s="1"/>
      <c r="T68" s="1"/>
      <c r="U68" s="1"/>
      <c r="V68" s="1"/>
      <c r="W68" s="1"/>
      <c r="X68" s="1"/>
    </row>
    <row r="69" spans="1:24">
      <c r="A69" s="23" t="str">
        <f>Maestro_Ingredientes!$B$9</f>
        <v>Pimiento verde</v>
      </c>
      <c r="B69" s="30">
        <f>IF(COUNT(Plan_Compras!$F$9,Plan_Compras!$F$18,Plan_Compras!$F$27,Plan_Compras!$F$36,Plan_Compras!$F$45,Plan_Compras!$F$54,Plan_Compras!$F$63,Plan_Compras!$F$72,Plan_Compras!$F$81,Plan_Compras!$F$90,Plan_Compras!$F$99,Plan_Compras!$F$108)=0,"",SUM(Plan_Compras!$F$9,Plan_Compras!$F$18,Plan_Compras!$F$27,Plan_Compras!$F$36,Plan_Compras!$F$45,Plan_Compras!$F$54,Plan_Compras!$F$63,Plan_Compras!$F$72,Plan_Compras!$F$81,Plan_Compras!$F$90,Plan_Compras!$F$99,Plan_Compras!$F$108))</f>
        <v>8588.2352941176468</v>
      </c>
      <c r="C69" s="30">
        <f>IF(COUNT(Plan_Compras!$M$9,Plan_Compras!$M$18,Plan_Compras!$M$27,Plan_Compras!$M$36,Plan_Compras!$M$45,Plan_Compras!$M$54,Plan_Compras!$M$63,Plan_Compras!$M$72,Plan_Compras!$M$81,Plan_Compras!$M$90,Plan_Compras!$M$99,Plan_Compras!$M$108)=0,"",SUM(Plan_Compras!$M$9,Plan_Compras!$M$18,Plan_Compras!$M$27,Plan_Compras!$M$36,Plan_Compras!$M$45,Plan_Compras!$M$54,Plan_Compras!$M$63,Plan_Compras!$M$72,Plan_Compras!$M$81,Plan_Compras!$M$90,Plan_Compras!$M$99,Plan_Compras!$M$108))</f>
        <v>8588.2352941176468</v>
      </c>
      <c r="D69" s="30" t="str">
        <f>IF(COUNT(Plan_Compras!$N$9,Plan_Compras!$N$18,Plan_Compras!$N$27,Plan_Compras!$N$36,Plan_Compras!$N$45,Plan_Compras!$N$54,Plan_Compras!$N$63,Plan_Compras!$N$72,Plan_Compras!$N$81,Plan_Compras!$N$90,Plan_Compras!$N$99,Plan_Compras!$N$108)=0,"",SUM(Plan_Compras!$N$9,Plan_Compras!$N$18,Plan_Compras!$N$27,Plan_Compras!$N$36,Plan_Compras!$N$45,Plan_Compras!$N$54,Plan_Compras!$N$63,Plan_Compras!$N$72,Plan_Compras!$N$81,Plan_Compras!$N$90,Plan_Compras!$N$99,Plan_Compras!$N$108))</f>
        <v/>
      </c>
      <c r="E69" s="45" t="str">
        <f>IF(OR(C69="",C69=0,OR(AND(Plan_Compras!$G$9&gt;0,Plan_Compras!$H$9=""),AND(Plan_Compras!$J$9&gt;0,Plan_Compras!$K$9=""),AND(Plan_Compras!$G$18&gt;0,Plan_Compras!$H$18=""),AND(Plan_Compras!$J$18&gt;0,Plan_Compras!$K$18=""),AND(Plan_Compras!$G$27&gt;0,Plan_Compras!$H$27=""),AND(Plan_Compras!$J$27&gt;0,Plan_Compras!$K$27=""),AND(Plan_Compras!$G$36&gt;0,Plan_Compras!$H$36=""),AND(Plan_Compras!$J$36&gt;0,Plan_Compras!$K$36=""),AND(Plan_Compras!$G$45&gt;0,Plan_Compras!$H$45=""),AND(Plan_Compras!$J$45&gt;0,Plan_Compras!$K$45=""),AND(Plan_Compras!$G$54&gt;0,Plan_Compras!$H$54=""),AND(Plan_Compras!$J$54&gt;0,Plan_Compras!$K$54=""),AND(Plan_Compras!$G$63&gt;0,Plan_Compras!$H$63=""),AND(Plan_Compras!$J$63&gt;0,Plan_Compras!$K$63=""),AND(Plan_Compras!$G$72&gt;0,Plan_Compras!$H$72=""),AND(Plan_Compras!$J$72&gt;0,Plan_Compras!$K$72=""),AND(Plan_Compras!$G$81&gt;0,Plan_Compras!$H$81=""),AND(Plan_Compras!$J$81&gt;0,Plan_Compras!$K$81=""),AND(Plan_Compras!$G$90&gt;0,Plan_Compras!$H$90=""),AND(Plan_Compras!$J$90&gt;0,Plan_Compras!$K$90=""),AND(Plan_Compras!$G$99&gt;0,Plan_Compras!$H$99=""),AND(Plan_Compras!$J$99&gt;0,Plan_Compras!$K$99=""),AND(Plan_Compras!$G$108&gt;0,Plan_Compras!$H$108=""),AND(Plan_Compras!$J$108&gt;0,Plan_Compras!$K$108=""))),"",D69/C69)</f>
        <v/>
      </c>
      <c r="F69" s="45" t="str">
        <f>IF(OR(E69="",OR(AND(Plan_Compras!$G$9&gt;0,Plan_Compras!$H$9=""),AND(Plan_Compras!$J$9&gt;0,Plan_Compras!$K$9=""),AND(Plan_Compras!$G$18&gt;0,Plan_Compras!$H$18=""),AND(Plan_Compras!$J$18&gt;0,Plan_Compras!$K$18=""),AND(Plan_Compras!$G$27&gt;0,Plan_Compras!$H$27=""),AND(Plan_Compras!$J$27&gt;0,Plan_Compras!$K$27=""),AND(Plan_Compras!$G$36&gt;0,Plan_Compras!$H$36=""),AND(Plan_Compras!$J$36&gt;0,Plan_Compras!$K$36=""),AND(Plan_Compras!$G$45&gt;0,Plan_Compras!$H$45=""),AND(Plan_Compras!$J$45&gt;0,Plan_Compras!$K$45=""),AND(Plan_Compras!$G$54&gt;0,Plan_Compras!$H$54=""),AND(Plan_Compras!$J$54&gt;0,Plan_Compras!$K$54=""),AND(Plan_Compras!$G$63&gt;0,Plan_Compras!$H$63=""),AND(Plan_Compras!$J$63&gt;0,Plan_Compras!$K$63=""),AND(Plan_Compras!$G$72&gt;0,Plan_Compras!$H$72=""),AND(Plan_Compras!$J$72&gt;0,Plan_Compras!$K$72=""),AND(Plan_Compras!$G$81&gt;0,Plan_Compras!$H$81=""),AND(Plan_Compras!$J$81&gt;0,Plan_Compras!$K$81=""),AND(Plan_Compras!$G$90&gt;0,Plan_Compras!$H$90=""),AND(Plan_Compras!$J$90&gt;0,Plan_Compras!$K$90=""),AND(Plan_Compras!$G$99&gt;0,Plan_Compras!$H$99=""),AND(Plan_Compras!$J$99&gt;0,Plan_Compras!$K$99=""),AND(Plan_Compras!$G$108&gt;0,Plan_Compras!$H$108=""),AND(Plan_Compras!$J$108&gt;0,Plan_Compras!$K$108=""))),"",MIN(IF(Plan_Compras!$G$9&gt;0,Plan_Compras!$H$9,1E+99),IF(Plan_Compras!$J$9&gt;0,Plan_Compras!$K$9,1E+99),IF(Plan_Compras!$G$18&gt;0,Plan_Compras!$H$18,1E+99),IF(Plan_Compras!$J$18&gt;0,Plan_Compras!$K$18,1E+99),IF(Plan_Compras!$G$27&gt;0,Plan_Compras!$H$27,1E+99),IF(Plan_Compras!$J$27&gt;0,Plan_Compras!$K$27,1E+99),IF(Plan_Compras!$G$36&gt;0,Plan_Compras!$H$36,1E+99),IF(Plan_Compras!$J$36&gt;0,Plan_Compras!$K$36,1E+99),IF(Plan_Compras!$G$45&gt;0,Plan_Compras!$H$45,1E+99),IF(Plan_Compras!$J$45&gt;0,Plan_Compras!$K$45,1E+99),IF(Plan_Compras!$G$54&gt;0,Plan_Compras!$H$54,1E+99),IF(Plan_Compras!$J$54&gt;0,Plan_Compras!$K$54,1E+99),IF(Plan_Compras!$G$63&gt;0,Plan_Compras!$H$63,1E+99),IF(Plan_Compras!$J$63&gt;0,Plan_Compras!$K$63,1E+99),IF(Plan_Compras!$G$72&gt;0,Plan_Compras!$H$72,1E+99),IF(Plan_Compras!$J$72&gt;0,Plan_Compras!$K$72,1E+99),IF(Plan_Compras!$G$81&gt;0,Plan_Compras!$H$81,1E+99),IF(Plan_Compras!$J$81&gt;0,Plan_Compras!$K$81,1E+99),IF(Plan_Compras!$G$90&gt;0,Plan_Compras!$H$90,1E+99),IF(Plan_Compras!$J$90&gt;0,Plan_Compras!$K$90,1E+99),IF(Plan_Compras!$G$99&gt;0,Plan_Compras!$H$99,1E+99),IF(Plan_Compras!$J$99&gt;0,Plan_Compras!$K$99,1E+99),IF(Plan_Compras!$G$108&gt;0,Plan_Compras!$H$108,1E+99),IF(Plan_Compras!$J$108&gt;0,Plan_Compras!$K$108,1E+99)))</f>
        <v/>
      </c>
      <c r="G69" s="45" t="str">
        <f>IF(OR(E69="",OR(AND(Plan_Compras!$G$9&gt;0,Plan_Compras!$H$9=""),AND(Plan_Compras!$J$9&gt;0,Plan_Compras!$K$9=""),AND(Plan_Compras!$G$18&gt;0,Plan_Compras!$H$18=""),AND(Plan_Compras!$J$18&gt;0,Plan_Compras!$K$18=""),AND(Plan_Compras!$G$27&gt;0,Plan_Compras!$H$27=""),AND(Plan_Compras!$J$27&gt;0,Plan_Compras!$K$27=""),AND(Plan_Compras!$G$36&gt;0,Plan_Compras!$H$36=""),AND(Plan_Compras!$J$36&gt;0,Plan_Compras!$K$36=""),AND(Plan_Compras!$G$45&gt;0,Plan_Compras!$H$45=""),AND(Plan_Compras!$J$45&gt;0,Plan_Compras!$K$45=""),AND(Plan_Compras!$G$54&gt;0,Plan_Compras!$H$54=""),AND(Plan_Compras!$J$54&gt;0,Plan_Compras!$K$54=""),AND(Plan_Compras!$G$63&gt;0,Plan_Compras!$H$63=""),AND(Plan_Compras!$J$63&gt;0,Plan_Compras!$K$63=""),AND(Plan_Compras!$G$72&gt;0,Plan_Compras!$H$72=""),AND(Plan_Compras!$J$72&gt;0,Plan_Compras!$K$72=""),AND(Plan_Compras!$G$81&gt;0,Plan_Compras!$H$81=""),AND(Plan_Compras!$J$81&gt;0,Plan_Compras!$K$81=""),AND(Plan_Compras!$G$90&gt;0,Plan_Compras!$H$90=""),AND(Plan_Compras!$J$90&gt;0,Plan_Compras!$K$90=""),AND(Plan_Compras!$G$99&gt;0,Plan_Compras!$H$99=""),AND(Plan_Compras!$J$99&gt;0,Plan_Compras!$K$99=""),AND(Plan_Compras!$G$108&gt;0,Plan_Compras!$H$108=""),AND(Plan_Compras!$J$108&gt;0,Plan_Compras!$K$108=""))),"",MAX(IF(Plan_Compras!$G$9&gt;0,Plan_Compras!$H$9,-1E+99),IF(Plan_Compras!$J$9&gt;0,Plan_Compras!$K$9,-1E+99),IF(Plan_Compras!$G$18&gt;0,Plan_Compras!$H$18,-1E+99),IF(Plan_Compras!$J$18&gt;0,Plan_Compras!$K$18,-1E+99),IF(Plan_Compras!$G$27&gt;0,Plan_Compras!$H$27,-1E+99),IF(Plan_Compras!$J$27&gt;0,Plan_Compras!$K$27,-1E+99),IF(Plan_Compras!$G$36&gt;0,Plan_Compras!$H$36,-1E+99),IF(Plan_Compras!$J$36&gt;0,Plan_Compras!$K$36,-1E+99),IF(Plan_Compras!$G$45&gt;0,Plan_Compras!$H$45,-1E+99),IF(Plan_Compras!$J$45&gt;0,Plan_Compras!$K$45,-1E+99),IF(Plan_Compras!$G$54&gt;0,Plan_Compras!$H$54,-1E+99),IF(Plan_Compras!$J$54&gt;0,Plan_Compras!$K$54,-1E+99),IF(Plan_Compras!$G$63&gt;0,Plan_Compras!$H$63,-1E+99),IF(Plan_Compras!$J$63&gt;0,Plan_Compras!$K$63,-1E+99),IF(Plan_Compras!$G$72&gt;0,Plan_Compras!$H$72,-1E+99),IF(Plan_Compras!$J$72&gt;0,Plan_Compras!$K$72,-1E+99),IF(Plan_Compras!$G$81&gt;0,Plan_Compras!$H$81,-1E+99),IF(Plan_Compras!$J$81&gt;0,Plan_Compras!$K$81,-1E+99),IF(Plan_Compras!$G$90&gt;0,Plan_Compras!$H$90,-1E+99),IF(Plan_Compras!$J$90&gt;0,Plan_Compras!$K$90,-1E+99),IF(Plan_Compras!$G$99&gt;0,Plan_Compras!$H$99,-1E+99),IF(Plan_Compras!$J$99&gt;0,Plan_Compras!$K$99,-1E+99),IF(Plan_Compras!$G$108&gt;0,Plan_Compras!$H$108,-1E+99),IF(Plan_Compras!$J$108&gt;0,Plan_Compras!$K$108,-1E+99)))</f>
        <v/>
      </c>
      <c r="H69" s="45" t="str">
        <f t="shared" si="5"/>
        <v/>
      </c>
      <c r="I69" s="46" t="str">
        <f t="shared" si="6"/>
        <v/>
      </c>
      <c r="J69" s="30">
        <f>IF(COUNT(Plan_Compras!$F$9,Plan_Compras!$F$18,Plan_Compras!$F$27,Plan_Compras!$F$36,Plan_Compras!$F$45,Plan_Compras!$F$54,Plan_Compras!$F$63,Plan_Compras!$F$72,Plan_Compras!$F$81,Plan_Compras!$F$90,Plan_Compras!$F$99,Plan_Compras!$F$108)=0,"",SUM(Plan_Compras!$F$9,Plan_Compras!$F$18,Plan_Compras!$F$27,Plan_Compras!$F$36,Plan_Compras!$F$45,Plan_Compras!$F$54,Plan_Compras!$F$63,Plan_Compras!$F$72,Plan_Compras!$F$81,Plan_Compras!$F$90,Plan_Compras!$F$99,Plan_Compras!$F$108)-SUM(Plan_Compras!$E$9,Plan_Compras!$E$18,Plan_Compras!$E$27,Plan_Compras!$E$36,Plan_Compras!$E$45,Plan_Compras!$E$54,Plan_Compras!$E$63,Plan_Compras!$E$72,Plan_Compras!$E$81,Plan_Compras!$E$90,Plan_Compras!$E$99,Plan_Compras!$E$108))</f>
        <v>1288.2352941176478</v>
      </c>
      <c r="K69" s="47" t="str">
        <f t="shared" si="7"/>
        <v/>
      </c>
      <c r="L69" s="1"/>
      <c r="M69" s="1"/>
      <c r="N69" s="1"/>
      <c r="O69" s="1"/>
      <c r="P69" s="1"/>
      <c r="Q69" s="1"/>
      <c r="R69" s="1"/>
      <c r="S69" s="1"/>
      <c r="T69" s="1"/>
      <c r="U69" s="1"/>
      <c r="V69" s="1"/>
      <c r="W69" s="1"/>
      <c r="X69" s="1"/>
    </row>
    <row r="70" spans="1:24">
      <c r="A70" s="23" t="str">
        <f>Maestro_Ingredientes!$B$10</f>
        <v>Cebolla</v>
      </c>
      <c r="B70" s="30">
        <f>IF(COUNT(Plan_Compras!$F$10,Plan_Compras!$F$19,Plan_Compras!$F$28,Plan_Compras!$F$37,Plan_Compras!$F$46,Plan_Compras!$F$55,Plan_Compras!$F$64,Plan_Compras!$F$73,Plan_Compras!$F$82,Plan_Compras!$F$91,Plan_Compras!$F$100,Plan_Compras!$F$109)=0,"",SUM(Plan_Compras!$F$10,Plan_Compras!$F$19,Plan_Compras!$F$28,Plan_Compras!$F$37,Plan_Compras!$F$46,Plan_Compras!$F$55,Plan_Compras!$F$64,Plan_Compras!$F$73,Plan_Compras!$F$82,Plan_Compras!$F$91,Plan_Compras!$F$100,Plan_Compras!$F$109))</f>
        <v>4888.8888888888887</v>
      </c>
      <c r="C70" s="30">
        <f>IF(COUNT(Plan_Compras!$M$10,Plan_Compras!$M$19,Plan_Compras!$M$28,Plan_Compras!$M$37,Plan_Compras!$M$46,Plan_Compras!$M$55,Plan_Compras!$M$64,Plan_Compras!$M$73,Plan_Compras!$M$82,Plan_Compras!$M$91,Plan_Compras!$M$100,Plan_Compras!$M$109)=0,"",SUM(Plan_Compras!$M$10,Plan_Compras!$M$19,Plan_Compras!$M$28,Plan_Compras!$M$37,Plan_Compras!$M$46,Plan_Compras!$M$55,Plan_Compras!$M$64,Plan_Compras!$M$73,Plan_Compras!$M$82,Plan_Compras!$M$91,Plan_Compras!$M$100,Plan_Compras!$M$109))</f>
        <v>4888.8888888888887</v>
      </c>
      <c r="D70" s="30" t="str">
        <f>IF(COUNT(Plan_Compras!$N$10,Plan_Compras!$N$19,Plan_Compras!$N$28,Plan_Compras!$N$37,Plan_Compras!$N$46,Plan_Compras!$N$55,Plan_Compras!$N$64,Plan_Compras!$N$73,Plan_Compras!$N$82,Plan_Compras!$N$91,Plan_Compras!$N$100,Plan_Compras!$N$109)=0,"",SUM(Plan_Compras!$N$10,Plan_Compras!$N$19,Plan_Compras!$N$28,Plan_Compras!$N$37,Plan_Compras!$N$46,Plan_Compras!$N$55,Plan_Compras!$N$64,Plan_Compras!$N$73,Plan_Compras!$N$82,Plan_Compras!$N$91,Plan_Compras!$N$100,Plan_Compras!$N$109))</f>
        <v/>
      </c>
      <c r="E70" s="45" t="str">
        <f>IF(OR(C70="",C70=0,OR(AND(Plan_Compras!$G$10&gt;0,Plan_Compras!$H$10=""),AND(Plan_Compras!$J$10&gt;0,Plan_Compras!$K$10=""),AND(Plan_Compras!$G$19&gt;0,Plan_Compras!$H$19=""),AND(Plan_Compras!$J$19&gt;0,Plan_Compras!$K$19=""),AND(Plan_Compras!$G$28&gt;0,Plan_Compras!$H$28=""),AND(Plan_Compras!$J$28&gt;0,Plan_Compras!$K$28=""),AND(Plan_Compras!$G$37&gt;0,Plan_Compras!$H$37=""),AND(Plan_Compras!$J$37&gt;0,Plan_Compras!$K$37=""),AND(Plan_Compras!$G$46&gt;0,Plan_Compras!$H$46=""),AND(Plan_Compras!$J$46&gt;0,Plan_Compras!$K$46=""),AND(Plan_Compras!$G$55&gt;0,Plan_Compras!$H$55=""),AND(Plan_Compras!$J$55&gt;0,Plan_Compras!$K$55=""),AND(Plan_Compras!$G$64&gt;0,Plan_Compras!$H$64=""),AND(Plan_Compras!$J$64&gt;0,Plan_Compras!$K$64=""),AND(Plan_Compras!$G$73&gt;0,Plan_Compras!$H$73=""),AND(Plan_Compras!$J$73&gt;0,Plan_Compras!$K$73=""),AND(Plan_Compras!$G$82&gt;0,Plan_Compras!$H$82=""),AND(Plan_Compras!$J$82&gt;0,Plan_Compras!$K$82=""),AND(Plan_Compras!$G$91&gt;0,Plan_Compras!$H$91=""),AND(Plan_Compras!$J$91&gt;0,Plan_Compras!$K$91=""),AND(Plan_Compras!$G$100&gt;0,Plan_Compras!$H$100=""),AND(Plan_Compras!$J$100&gt;0,Plan_Compras!$K$100=""),AND(Plan_Compras!$G$109&gt;0,Plan_Compras!$H$109=""),AND(Plan_Compras!$J$109&gt;0,Plan_Compras!$K$109=""))),"",D70/C70)</f>
        <v/>
      </c>
      <c r="F70" s="45" t="str">
        <f>IF(OR(E70="",OR(AND(Plan_Compras!$G$10&gt;0,Plan_Compras!$H$10=""),AND(Plan_Compras!$J$10&gt;0,Plan_Compras!$K$10=""),AND(Plan_Compras!$G$19&gt;0,Plan_Compras!$H$19=""),AND(Plan_Compras!$J$19&gt;0,Plan_Compras!$K$19=""),AND(Plan_Compras!$G$28&gt;0,Plan_Compras!$H$28=""),AND(Plan_Compras!$J$28&gt;0,Plan_Compras!$K$28=""),AND(Plan_Compras!$G$37&gt;0,Plan_Compras!$H$37=""),AND(Plan_Compras!$J$37&gt;0,Plan_Compras!$K$37=""),AND(Plan_Compras!$G$46&gt;0,Plan_Compras!$H$46=""),AND(Plan_Compras!$J$46&gt;0,Plan_Compras!$K$46=""),AND(Plan_Compras!$G$55&gt;0,Plan_Compras!$H$55=""),AND(Plan_Compras!$J$55&gt;0,Plan_Compras!$K$55=""),AND(Plan_Compras!$G$64&gt;0,Plan_Compras!$H$64=""),AND(Plan_Compras!$J$64&gt;0,Plan_Compras!$K$64=""),AND(Plan_Compras!$G$73&gt;0,Plan_Compras!$H$73=""),AND(Plan_Compras!$J$73&gt;0,Plan_Compras!$K$73=""),AND(Plan_Compras!$G$82&gt;0,Plan_Compras!$H$82=""),AND(Plan_Compras!$J$82&gt;0,Plan_Compras!$K$82=""),AND(Plan_Compras!$G$91&gt;0,Plan_Compras!$H$91=""),AND(Plan_Compras!$J$91&gt;0,Plan_Compras!$K$91=""),AND(Plan_Compras!$G$100&gt;0,Plan_Compras!$H$100=""),AND(Plan_Compras!$J$100&gt;0,Plan_Compras!$K$100=""),AND(Plan_Compras!$G$109&gt;0,Plan_Compras!$H$109=""),AND(Plan_Compras!$J$109&gt;0,Plan_Compras!$K$109=""))),"",MIN(IF(Plan_Compras!$G$10&gt;0,Plan_Compras!$H$10,1E+99),IF(Plan_Compras!$J$10&gt;0,Plan_Compras!$K$10,1E+99),IF(Plan_Compras!$G$19&gt;0,Plan_Compras!$H$19,1E+99),IF(Plan_Compras!$J$19&gt;0,Plan_Compras!$K$19,1E+99),IF(Plan_Compras!$G$28&gt;0,Plan_Compras!$H$28,1E+99),IF(Plan_Compras!$J$28&gt;0,Plan_Compras!$K$28,1E+99),IF(Plan_Compras!$G$37&gt;0,Plan_Compras!$H$37,1E+99),IF(Plan_Compras!$J$37&gt;0,Plan_Compras!$K$37,1E+99),IF(Plan_Compras!$G$46&gt;0,Plan_Compras!$H$46,1E+99),IF(Plan_Compras!$J$46&gt;0,Plan_Compras!$K$46,1E+99),IF(Plan_Compras!$G$55&gt;0,Plan_Compras!$H$55,1E+99),IF(Plan_Compras!$J$55&gt;0,Plan_Compras!$K$55,1E+99),IF(Plan_Compras!$G$64&gt;0,Plan_Compras!$H$64,1E+99),IF(Plan_Compras!$J$64&gt;0,Plan_Compras!$K$64,1E+99),IF(Plan_Compras!$G$73&gt;0,Plan_Compras!$H$73,1E+99),IF(Plan_Compras!$J$73&gt;0,Plan_Compras!$K$73,1E+99),IF(Plan_Compras!$G$82&gt;0,Plan_Compras!$H$82,1E+99),IF(Plan_Compras!$J$82&gt;0,Plan_Compras!$K$82,1E+99),IF(Plan_Compras!$G$91&gt;0,Plan_Compras!$H$91,1E+99),IF(Plan_Compras!$J$91&gt;0,Plan_Compras!$K$91,1E+99),IF(Plan_Compras!$G$100&gt;0,Plan_Compras!$H$100,1E+99),IF(Plan_Compras!$J$100&gt;0,Plan_Compras!$K$100,1E+99),IF(Plan_Compras!$G$109&gt;0,Plan_Compras!$H$109,1E+99),IF(Plan_Compras!$J$109&gt;0,Plan_Compras!$K$109,1E+99)))</f>
        <v/>
      </c>
      <c r="G70" s="45" t="str">
        <f>IF(OR(E70="",OR(AND(Plan_Compras!$G$10&gt;0,Plan_Compras!$H$10=""),AND(Plan_Compras!$J$10&gt;0,Plan_Compras!$K$10=""),AND(Plan_Compras!$G$19&gt;0,Plan_Compras!$H$19=""),AND(Plan_Compras!$J$19&gt;0,Plan_Compras!$K$19=""),AND(Plan_Compras!$G$28&gt;0,Plan_Compras!$H$28=""),AND(Plan_Compras!$J$28&gt;0,Plan_Compras!$K$28=""),AND(Plan_Compras!$G$37&gt;0,Plan_Compras!$H$37=""),AND(Plan_Compras!$J$37&gt;0,Plan_Compras!$K$37=""),AND(Plan_Compras!$G$46&gt;0,Plan_Compras!$H$46=""),AND(Plan_Compras!$J$46&gt;0,Plan_Compras!$K$46=""),AND(Plan_Compras!$G$55&gt;0,Plan_Compras!$H$55=""),AND(Plan_Compras!$J$55&gt;0,Plan_Compras!$K$55=""),AND(Plan_Compras!$G$64&gt;0,Plan_Compras!$H$64=""),AND(Plan_Compras!$J$64&gt;0,Plan_Compras!$K$64=""),AND(Plan_Compras!$G$73&gt;0,Plan_Compras!$H$73=""),AND(Plan_Compras!$J$73&gt;0,Plan_Compras!$K$73=""),AND(Plan_Compras!$G$82&gt;0,Plan_Compras!$H$82=""),AND(Plan_Compras!$J$82&gt;0,Plan_Compras!$K$82=""),AND(Plan_Compras!$G$91&gt;0,Plan_Compras!$H$91=""),AND(Plan_Compras!$J$91&gt;0,Plan_Compras!$K$91=""),AND(Plan_Compras!$G$100&gt;0,Plan_Compras!$H$100=""),AND(Plan_Compras!$J$100&gt;0,Plan_Compras!$K$100=""),AND(Plan_Compras!$G$109&gt;0,Plan_Compras!$H$109=""),AND(Plan_Compras!$J$109&gt;0,Plan_Compras!$K$109=""))),"",MAX(IF(Plan_Compras!$G$10&gt;0,Plan_Compras!$H$10,-1E+99),IF(Plan_Compras!$J$10&gt;0,Plan_Compras!$K$10,-1E+99),IF(Plan_Compras!$G$19&gt;0,Plan_Compras!$H$19,-1E+99),IF(Plan_Compras!$J$19&gt;0,Plan_Compras!$K$19,-1E+99),IF(Plan_Compras!$G$28&gt;0,Plan_Compras!$H$28,-1E+99),IF(Plan_Compras!$J$28&gt;0,Plan_Compras!$K$28,-1E+99),IF(Plan_Compras!$G$37&gt;0,Plan_Compras!$H$37,-1E+99),IF(Plan_Compras!$J$37&gt;0,Plan_Compras!$K$37,-1E+99),IF(Plan_Compras!$G$46&gt;0,Plan_Compras!$H$46,-1E+99),IF(Plan_Compras!$J$46&gt;0,Plan_Compras!$K$46,-1E+99),IF(Plan_Compras!$G$55&gt;0,Plan_Compras!$H$55,-1E+99),IF(Plan_Compras!$J$55&gt;0,Plan_Compras!$K$55,-1E+99),IF(Plan_Compras!$G$64&gt;0,Plan_Compras!$H$64,-1E+99),IF(Plan_Compras!$J$64&gt;0,Plan_Compras!$K$64,-1E+99),IF(Plan_Compras!$G$73&gt;0,Plan_Compras!$H$73,-1E+99),IF(Plan_Compras!$J$73&gt;0,Plan_Compras!$K$73,-1E+99),IF(Plan_Compras!$G$82&gt;0,Plan_Compras!$H$82,-1E+99),IF(Plan_Compras!$J$82&gt;0,Plan_Compras!$K$82,-1E+99),IF(Plan_Compras!$G$91&gt;0,Plan_Compras!$H$91,-1E+99),IF(Plan_Compras!$J$91&gt;0,Plan_Compras!$K$91,-1E+99),IF(Plan_Compras!$G$100&gt;0,Plan_Compras!$H$100,-1E+99),IF(Plan_Compras!$J$100&gt;0,Plan_Compras!$K$100,-1E+99),IF(Plan_Compras!$G$109&gt;0,Plan_Compras!$H$109,-1E+99),IF(Plan_Compras!$J$109&gt;0,Plan_Compras!$K$109,-1E+99)))</f>
        <v/>
      </c>
      <c r="H70" s="45" t="str">
        <f t="shared" si="5"/>
        <v/>
      </c>
      <c r="I70" s="46" t="str">
        <f t="shared" si="6"/>
        <v/>
      </c>
      <c r="J70" s="30">
        <f>IF(COUNT(Plan_Compras!$F$10,Plan_Compras!$F$19,Plan_Compras!$F$28,Plan_Compras!$F$37,Plan_Compras!$F$46,Plan_Compras!$F$55,Plan_Compras!$F$64,Plan_Compras!$F$73,Plan_Compras!$F$82,Plan_Compras!$F$91,Plan_Compras!$F$100,Plan_Compras!$F$109)=0,"",SUM(Plan_Compras!$F$10,Plan_Compras!$F$19,Plan_Compras!$F$28,Plan_Compras!$F$37,Plan_Compras!$F$46,Plan_Compras!$F$55,Plan_Compras!$F$64,Plan_Compras!$F$73,Plan_Compras!$F$82,Plan_Compras!$F$91,Plan_Compras!$F$100,Plan_Compras!$F$109)-SUM(Plan_Compras!$E$10,Plan_Compras!$E$19,Plan_Compras!$E$28,Plan_Compras!$E$37,Plan_Compras!$E$46,Plan_Compras!$E$55,Plan_Compras!$E$64,Plan_Compras!$E$73,Plan_Compras!$E$82,Plan_Compras!$E$91,Plan_Compras!$E$100,Plan_Compras!$E$109))</f>
        <v>488.88888888888869</v>
      </c>
      <c r="K70" s="47" t="str">
        <f t="shared" si="7"/>
        <v/>
      </c>
      <c r="L70" s="1"/>
      <c r="M70" s="1"/>
      <c r="N70" s="1"/>
      <c r="O70" s="1"/>
      <c r="P70" s="1"/>
      <c r="Q70" s="1"/>
      <c r="R70" s="1"/>
      <c r="S70" s="1"/>
      <c r="T70" s="1"/>
      <c r="U70" s="1"/>
      <c r="V70" s="1"/>
      <c r="W70" s="1"/>
      <c r="X70" s="1"/>
    </row>
    <row r="71" spans="1:24">
      <c r="A71" s="48" t="str">
        <f>Maestro_Ingredientes!$B$11</f>
        <v>Ajo</v>
      </c>
      <c r="B71" s="49">
        <f>IF(COUNT(Plan_Compras!$F$11,Plan_Compras!$F$20,Plan_Compras!$F$29,Plan_Compras!$F$38,Plan_Compras!$F$47,Plan_Compras!$F$56,Plan_Compras!$F$65,Plan_Compras!$F$74,Plan_Compras!$F$83,Plan_Compras!$F$92,Plan_Compras!$F$101,Plan_Compras!$F$110)=0,"",SUM(Plan_Compras!$F$11,Plan_Compras!$F$20,Plan_Compras!$F$29,Plan_Compras!$F$38,Plan_Compras!$F$47,Plan_Compras!$F$56,Plan_Compras!$F$65,Plan_Compras!$F$74,Plan_Compras!$F$83,Plan_Compras!$F$92,Plan_Compras!$F$101,Plan_Compras!$F$110))</f>
        <v>869.56521739130437</v>
      </c>
      <c r="C71" s="49">
        <f>IF(COUNT(Plan_Compras!$M$11,Plan_Compras!$M$20,Plan_Compras!$M$29,Plan_Compras!$M$38,Plan_Compras!$M$47,Plan_Compras!$M$56,Plan_Compras!$M$65,Plan_Compras!$M$74,Plan_Compras!$M$83,Plan_Compras!$M$92,Plan_Compras!$M$101,Plan_Compras!$M$110)=0,"",SUM(Plan_Compras!$M$11,Plan_Compras!$M$20,Plan_Compras!$M$29,Plan_Compras!$M$38,Plan_Compras!$M$47,Plan_Compras!$M$56,Plan_Compras!$M$65,Plan_Compras!$M$74,Plan_Compras!$M$83,Plan_Compras!$M$92,Plan_Compras!$M$101,Plan_Compras!$M$110))</f>
        <v>869.56521739130437</v>
      </c>
      <c r="D71" s="49" t="str">
        <f>IF(COUNT(Plan_Compras!$N$11,Plan_Compras!$N$20,Plan_Compras!$N$29,Plan_Compras!$N$38,Plan_Compras!$N$47,Plan_Compras!$N$56,Plan_Compras!$N$65,Plan_Compras!$N$74,Plan_Compras!$N$83,Plan_Compras!$N$92,Plan_Compras!$N$101,Plan_Compras!$N$110)=0,"",SUM(Plan_Compras!$N$11,Plan_Compras!$N$20,Plan_Compras!$N$29,Plan_Compras!$N$38,Plan_Compras!$N$47,Plan_Compras!$N$56,Plan_Compras!$N$65,Plan_Compras!$N$74,Plan_Compras!$N$83,Plan_Compras!$N$92,Plan_Compras!$N$101,Plan_Compras!$N$110))</f>
        <v/>
      </c>
      <c r="E71" s="50" t="str">
        <f>IF(OR(C71="",C71=0,OR(AND(Plan_Compras!$G$11&gt;0,Plan_Compras!$H$11=""),AND(Plan_Compras!$J$11&gt;0,Plan_Compras!$K$11=""),AND(Plan_Compras!$G$20&gt;0,Plan_Compras!$H$20=""),AND(Plan_Compras!$J$20&gt;0,Plan_Compras!$K$20=""),AND(Plan_Compras!$G$29&gt;0,Plan_Compras!$H$29=""),AND(Plan_Compras!$J$29&gt;0,Plan_Compras!$K$29=""),AND(Plan_Compras!$G$38&gt;0,Plan_Compras!$H$38=""),AND(Plan_Compras!$J$38&gt;0,Plan_Compras!$K$38=""),AND(Plan_Compras!$G$47&gt;0,Plan_Compras!$H$47=""),AND(Plan_Compras!$J$47&gt;0,Plan_Compras!$K$47=""),AND(Plan_Compras!$G$56&gt;0,Plan_Compras!$H$56=""),AND(Plan_Compras!$J$56&gt;0,Plan_Compras!$K$56=""),AND(Plan_Compras!$G$65&gt;0,Plan_Compras!$H$65=""),AND(Plan_Compras!$J$65&gt;0,Plan_Compras!$K$65=""),AND(Plan_Compras!$G$74&gt;0,Plan_Compras!$H$74=""),AND(Plan_Compras!$J$74&gt;0,Plan_Compras!$K$74=""),AND(Plan_Compras!$G$83&gt;0,Plan_Compras!$H$83=""),AND(Plan_Compras!$J$83&gt;0,Plan_Compras!$K$83=""),AND(Plan_Compras!$G$92&gt;0,Plan_Compras!$H$92=""),AND(Plan_Compras!$J$92&gt;0,Plan_Compras!$K$92=""),AND(Plan_Compras!$G$101&gt;0,Plan_Compras!$H$101=""),AND(Plan_Compras!$J$101&gt;0,Plan_Compras!$K$101=""),AND(Plan_Compras!$G$110&gt;0,Plan_Compras!$H$110=""),AND(Plan_Compras!$J$110&gt;0,Plan_Compras!$K$110=""))),"",D71/C71)</f>
        <v/>
      </c>
      <c r="F71" s="50" t="str">
        <f>IF(OR(E71="",OR(AND(Plan_Compras!$G$11&gt;0,Plan_Compras!$H$11=""),AND(Plan_Compras!$J$11&gt;0,Plan_Compras!$K$11=""),AND(Plan_Compras!$G$20&gt;0,Plan_Compras!$H$20=""),AND(Plan_Compras!$J$20&gt;0,Plan_Compras!$K$20=""),AND(Plan_Compras!$G$29&gt;0,Plan_Compras!$H$29=""),AND(Plan_Compras!$J$29&gt;0,Plan_Compras!$K$29=""),AND(Plan_Compras!$G$38&gt;0,Plan_Compras!$H$38=""),AND(Plan_Compras!$J$38&gt;0,Plan_Compras!$K$38=""),AND(Plan_Compras!$G$47&gt;0,Plan_Compras!$H$47=""),AND(Plan_Compras!$J$47&gt;0,Plan_Compras!$K$47=""),AND(Plan_Compras!$G$56&gt;0,Plan_Compras!$H$56=""),AND(Plan_Compras!$J$56&gt;0,Plan_Compras!$K$56=""),AND(Plan_Compras!$G$65&gt;0,Plan_Compras!$H$65=""),AND(Plan_Compras!$J$65&gt;0,Plan_Compras!$K$65=""),AND(Plan_Compras!$G$74&gt;0,Plan_Compras!$H$74=""),AND(Plan_Compras!$J$74&gt;0,Plan_Compras!$K$74=""),AND(Plan_Compras!$G$83&gt;0,Plan_Compras!$H$83=""),AND(Plan_Compras!$J$83&gt;0,Plan_Compras!$K$83=""),AND(Plan_Compras!$G$92&gt;0,Plan_Compras!$H$92=""),AND(Plan_Compras!$J$92&gt;0,Plan_Compras!$K$92=""),AND(Plan_Compras!$G$101&gt;0,Plan_Compras!$H$101=""),AND(Plan_Compras!$J$101&gt;0,Plan_Compras!$K$101=""),AND(Plan_Compras!$G$110&gt;0,Plan_Compras!$H$110=""),AND(Plan_Compras!$J$110&gt;0,Plan_Compras!$K$110=""))),"",MIN(IF(Plan_Compras!$G$11&gt;0,Plan_Compras!$H$11,1E+99),IF(Plan_Compras!$J$11&gt;0,Plan_Compras!$K$11,1E+99),IF(Plan_Compras!$G$20&gt;0,Plan_Compras!$H$20,1E+99),IF(Plan_Compras!$J$20&gt;0,Plan_Compras!$K$20,1E+99),IF(Plan_Compras!$G$29&gt;0,Plan_Compras!$H$29,1E+99),IF(Plan_Compras!$J$29&gt;0,Plan_Compras!$K$29,1E+99),IF(Plan_Compras!$G$38&gt;0,Plan_Compras!$H$38,1E+99),IF(Plan_Compras!$J$38&gt;0,Plan_Compras!$K$38,1E+99),IF(Plan_Compras!$G$47&gt;0,Plan_Compras!$H$47,1E+99),IF(Plan_Compras!$J$47&gt;0,Plan_Compras!$K$47,1E+99),IF(Plan_Compras!$G$56&gt;0,Plan_Compras!$H$56,1E+99),IF(Plan_Compras!$J$56&gt;0,Plan_Compras!$K$56,1E+99),IF(Plan_Compras!$G$65&gt;0,Plan_Compras!$H$65,1E+99),IF(Plan_Compras!$J$65&gt;0,Plan_Compras!$K$65,1E+99),IF(Plan_Compras!$G$74&gt;0,Plan_Compras!$H$74,1E+99),IF(Plan_Compras!$J$74&gt;0,Plan_Compras!$K$74,1E+99),IF(Plan_Compras!$G$83&gt;0,Plan_Compras!$H$83,1E+99),IF(Plan_Compras!$J$83&gt;0,Plan_Compras!$K$83,1E+99),IF(Plan_Compras!$G$92&gt;0,Plan_Compras!$H$92,1E+99),IF(Plan_Compras!$J$92&gt;0,Plan_Compras!$K$92,1E+99),IF(Plan_Compras!$G$101&gt;0,Plan_Compras!$H$101,1E+99),IF(Plan_Compras!$J$101&gt;0,Plan_Compras!$K$101,1E+99),IF(Plan_Compras!$G$110&gt;0,Plan_Compras!$H$110,1E+99),IF(Plan_Compras!$J$110&gt;0,Plan_Compras!$K$110,1E+99)))</f>
        <v/>
      </c>
      <c r="G71" s="50" t="str">
        <f>IF(OR(E71="",OR(AND(Plan_Compras!$G$11&gt;0,Plan_Compras!$H$11=""),AND(Plan_Compras!$J$11&gt;0,Plan_Compras!$K$11=""),AND(Plan_Compras!$G$20&gt;0,Plan_Compras!$H$20=""),AND(Plan_Compras!$J$20&gt;0,Plan_Compras!$K$20=""),AND(Plan_Compras!$G$29&gt;0,Plan_Compras!$H$29=""),AND(Plan_Compras!$J$29&gt;0,Plan_Compras!$K$29=""),AND(Plan_Compras!$G$38&gt;0,Plan_Compras!$H$38=""),AND(Plan_Compras!$J$38&gt;0,Plan_Compras!$K$38=""),AND(Plan_Compras!$G$47&gt;0,Plan_Compras!$H$47=""),AND(Plan_Compras!$J$47&gt;0,Plan_Compras!$K$47=""),AND(Plan_Compras!$G$56&gt;0,Plan_Compras!$H$56=""),AND(Plan_Compras!$J$56&gt;0,Plan_Compras!$K$56=""),AND(Plan_Compras!$G$65&gt;0,Plan_Compras!$H$65=""),AND(Plan_Compras!$J$65&gt;0,Plan_Compras!$K$65=""),AND(Plan_Compras!$G$74&gt;0,Plan_Compras!$H$74=""),AND(Plan_Compras!$J$74&gt;0,Plan_Compras!$K$74=""),AND(Plan_Compras!$G$83&gt;0,Plan_Compras!$H$83=""),AND(Plan_Compras!$J$83&gt;0,Plan_Compras!$K$83=""),AND(Plan_Compras!$G$92&gt;0,Plan_Compras!$H$92=""),AND(Plan_Compras!$J$92&gt;0,Plan_Compras!$K$92=""),AND(Plan_Compras!$G$101&gt;0,Plan_Compras!$H$101=""),AND(Plan_Compras!$J$101&gt;0,Plan_Compras!$K$101=""),AND(Plan_Compras!$G$110&gt;0,Plan_Compras!$H$110=""),AND(Plan_Compras!$J$110&gt;0,Plan_Compras!$K$110=""))),"",MAX(IF(Plan_Compras!$G$11&gt;0,Plan_Compras!$H$11,-1E+99),IF(Plan_Compras!$J$11&gt;0,Plan_Compras!$K$11,-1E+99),IF(Plan_Compras!$G$20&gt;0,Plan_Compras!$H$20,-1E+99),IF(Plan_Compras!$J$20&gt;0,Plan_Compras!$K$20,-1E+99),IF(Plan_Compras!$G$29&gt;0,Plan_Compras!$H$29,-1E+99),IF(Plan_Compras!$J$29&gt;0,Plan_Compras!$K$29,-1E+99),IF(Plan_Compras!$G$38&gt;0,Plan_Compras!$H$38,-1E+99),IF(Plan_Compras!$J$38&gt;0,Plan_Compras!$K$38,-1E+99),IF(Plan_Compras!$G$47&gt;0,Plan_Compras!$H$47,-1E+99),IF(Plan_Compras!$J$47&gt;0,Plan_Compras!$K$47,-1E+99),IF(Plan_Compras!$G$56&gt;0,Plan_Compras!$H$56,-1E+99),IF(Plan_Compras!$J$56&gt;0,Plan_Compras!$K$56,-1E+99),IF(Plan_Compras!$G$65&gt;0,Plan_Compras!$H$65,-1E+99),IF(Plan_Compras!$J$65&gt;0,Plan_Compras!$K$65,-1E+99),IF(Plan_Compras!$G$74&gt;0,Plan_Compras!$H$74,-1E+99),IF(Plan_Compras!$J$74&gt;0,Plan_Compras!$K$74,-1E+99),IF(Plan_Compras!$G$83&gt;0,Plan_Compras!$H$83,-1E+99),IF(Plan_Compras!$J$83&gt;0,Plan_Compras!$K$83,-1E+99),IF(Plan_Compras!$G$92&gt;0,Plan_Compras!$H$92,-1E+99),IF(Plan_Compras!$J$92&gt;0,Plan_Compras!$K$92,-1E+99),IF(Plan_Compras!$G$101&gt;0,Plan_Compras!$H$101,-1E+99),IF(Plan_Compras!$J$101&gt;0,Plan_Compras!$K$101,-1E+99),IF(Plan_Compras!$G$110&gt;0,Plan_Compras!$H$110,-1E+99),IF(Plan_Compras!$J$110&gt;0,Plan_Compras!$K$110,-1E+99)))</f>
        <v/>
      </c>
      <c r="H71" s="50" t="str">
        <f t="shared" si="5"/>
        <v/>
      </c>
      <c r="I71" s="51" t="str">
        <f t="shared" si="6"/>
        <v/>
      </c>
      <c r="J71" s="49">
        <f>IF(COUNT(Plan_Compras!$F$11,Plan_Compras!$F$20,Plan_Compras!$F$29,Plan_Compras!$F$38,Plan_Compras!$F$47,Plan_Compras!$F$56,Plan_Compras!$F$65,Plan_Compras!$F$74,Plan_Compras!$F$83,Plan_Compras!$F$92,Plan_Compras!$F$101,Plan_Compras!$F$110)=0,"",SUM(Plan_Compras!$F$11,Plan_Compras!$F$20,Plan_Compras!$F$29,Plan_Compras!$F$38,Plan_Compras!$F$47,Plan_Compras!$F$56,Plan_Compras!$F$65,Plan_Compras!$F$74,Plan_Compras!$F$83,Plan_Compras!$F$92,Plan_Compras!$F$101,Plan_Compras!$F$110)-SUM(Plan_Compras!$E$11,Plan_Compras!$E$20,Plan_Compras!$E$29,Plan_Compras!$E$38,Plan_Compras!$E$47,Plan_Compras!$E$56,Plan_Compras!$E$65,Plan_Compras!$E$74,Plan_Compras!$E$83,Plan_Compras!$E$92,Plan_Compras!$E$101,Plan_Compras!$E$110))</f>
        <v>69.565217391304373</v>
      </c>
      <c r="K71" s="52" t="str">
        <f t="shared" si="7"/>
        <v/>
      </c>
    </row>
    <row r="72" spans="1:24">
      <c r="A72" s="48" t="str">
        <f>Maestro_Ingredientes!$B$12</f>
        <v>Aceite de oliva virgen extra</v>
      </c>
      <c r="B72" s="49">
        <f>IF(COUNT(Plan_Compras!$F$12,Plan_Compras!$F$21,Plan_Compras!$F$30,Plan_Compras!$F$39,Plan_Compras!$F$48,Plan_Compras!$F$57,Plan_Compras!$F$66,Plan_Compras!$F$75,Plan_Compras!$F$84,Plan_Compras!$F$93,Plan_Compras!$F$102,Plan_Compras!$F$111)=0,"",SUM(Plan_Compras!$F$12,Plan_Compras!$F$21,Plan_Compras!$F$30,Plan_Compras!$F$39,Plan_Compras!$F$48,Plan_Compras!$F$57,Plan_Compras!$F$66,Plan_Compras!$F$75,Plan_Compras!$F$84,Plan_Compras!$F$93,Plan_Compras!$F$102,Plan_Compras!$F$111))</f>
        <v>2613.065326633166</v>
      </c>
      <c r="C72" s="49">
        <f>IF(COUNT(Plan_Compras!$M$12,Plan_Compras!$M$21,Plan_Compras!$M$30,Plan_Compras!$M$39,Plan_Compras!$M$48,Plan_Compras!$M$57,Plan_Compras!$M$66,Plan_Compras!$M$75,Plan_Compras!$M$84,Plan_Compras!$M$93,Plan_Compras!$M$102,Plan_Compras!$M$111)=0,"",SUM(Plan_Compras!$M$12,Plan_Compras!$M$21,Plan_Compras!$M$30,Plan_Compras!$M$39,Plan_Compras!$M$48,Plan_Compras!$M$57,Plan_Compras!$M$66,Plan_Compras!$M$75,Plan_Compras!$M$84,Plan_Compras!$M$93,Plan_Compras!$M$102,Plan_Compras!$M$111))</f>
        <v>2613.065326633166</v>
      </c>
      <c r="D72" s="49" t="str">
        <f>IF(COUNT(Plan_Compras!$N$12,Plan_Compras!$N$21,Plan_Compras!$N$30,Plan_Compras!$N$39,Plan_Compras!$N$48,Plan_Compras!$N$57,Plan_Compras!$N$66,Plan_Compras!$N$75,Plan_Compras!$N$84,Plan_Compras!$N$93,Plan_Compras!$N$102,Plan_Compras!$N$111)=0,"",SUM(Plan_Compras!$N$12,Plan_Compras!$N$21,Plan_Compras!$N$30,Plan_Compras!$N$39,Plan_Compras!$N$48,Plan_Compras!$N$57,Plan_Compras!$N$66,Plan_Compras!$N$75,Plan_Compras!$N$84,Plan_Compras!$N$93,Plan_Compras!$N$102,Plan_Compras!$N$111))</f>
        <v/>
      </c>
      <c r="E72" s="50" t="str">
        <f>IF(OR(C72="",C72=0,OR(AND(Plan_Compras!$G$12&gt;0,Plan_Compras!$H$12=""),AND(Plan_Compras!$J$12&gt;0,Plan_Compras!$K$12=""),AND(Plan_Compras!$G$21&gt;0,Plan_Compras!$H$21=""),AND(Plan_Compras!$J$21&gt;0,Plan_Compras!$K$21=""),AND(Plan_Compras!$G$30&gt;0,Plan_Compras!$H$30=""),AND(Plan_Compras!$J$30&gt;0,Plan_Compras!$K$30=""),AND(Plan_Compras!$G$39&gt;0,Plan_Compras!$H$39=""),AND(Plan_Compras!$J$39&gt;0,Plan_Compras!$K$39=""),AND(Plan_Compras!$G$48&gt;0,Plan_Compras!$H$48=""),AND(Plan_Compras!$J$48&gt;0,Plan_Compras!$K$48=""),AND(Plan_Compras!$G$57&gt;0,Plan_Compras!$H$57=""),AND(Plan_Compras!$J$57&gt;0,Plan_Compras!$K$57=""),AND(Plan_Compras!$G$66&gt;0,Plan_Compras!$H$66=""),AND(Plan_Compras!$J$66&gt;0,Plan_Compras!$K$66=""),AND(Plan_Compras!$G$75&gt;0,Plan_Compras!$H$75=""),AND(Plan_Compras!$J$75&gt;0,Plan_Compras!$K$75=""),AND(Plan_Compras!$G$84&gt;0,Plan_Compras!$H$84=""),AND(Plan_Compras!$J$84&gt;0,Plan_Compras!$K$84=""),AND(Plan_Compras!$G$93&gt;0,Plan_Compras!$H$93=""),AND(Plan_Compras!$J$93&gt;0,Plan_Compras!$K$93=""),AND(Plan_Compras!$G$102&gt;0,Plan_Compras!$H$102=""),AND(Plan_Compras!$J$102&gt;0,Plan_Compras!$K$102=""),AND(Plan_Compras!$G$111&gt;0,Plan_Compras!$H$111=""),AND(Plan_Compras!$J$111&gt;0,Plan_Compras!$K$111=""))),"",D72/C72)</f>
        <v/>
      </c>
      <c r="F72" s="50" t="str">
        <f>IF(OR(E72="",OR(AND(Plan_Compras!$G$12&gt;0,Plan_Compras!$H$12=""),AND(Plan_Compras!$J$12&gt;0,Plan_Compras!$K$12=""),AND(Plan_Compras!$G$21&gt;0,Plan_Compras!$H$21=""),AND(Plan_Compras!$J$21&gt;0,Plan_Compras!$K$21=""),AND(Plan_Compras!$G$30&gt;0,Plan_Compras!$H$30=""),AND(Plan_Compras!$J$30&gt;0,Plan_Compras!$K$30=""),AND(Plan_Compras!$G$39&gt;0,Plan_Compras!$H$39=""),AND(Plan_Compras!$J$39&gt;0,Plan_Compras!$K$39=""),AND(Plan_Compras!$G$48&gt;0,Plan_Compras!$H$48=""),AND(Plan_Compras!$J$48&gt;0,Plan_Compras!$K$48=""),AND(Plan_Compras!$G$57&gt;0,Plan_Compras!$H$57=""),AND(Plan_Compras!$J$57&gt;0,Plan_Compras!$K$57=""),AND(Plan_Compras!$G$66&gt;0,Plan_Compras!$H$66=""),AND(Plan_Compras!$J$66&gt;0,Plan_Compras!$K$66=""),AND(Plan_Compras!$G$75&gt;0,Plan_Compras!$H$75=""),AND(Plan_Compras!$J$75&gt;0,Plan_Compras!$K$75=""),AND(Plan_Compras!$G$84&gt;0,Plan_Compras!$H$84=""),AND(Plan_Compras!$J$84&gt;0,Plan_Compras!$K$84=""),AND(Plan_Compras!$G$93&gt;0,Plan_Compras!$H$93=""),AND(Plan_Compras!$J$93&gt;0,Plan_Compras!$K$93=""),AND(Plan_Compras!$G$102&gt;0,Plan_Compras!$H$102=""),AND(Plan_Compras!$J$102&gt;0,Plan_Compras!$K$102=""),AND(Plan_Compras!$G$111&gt;0,Plan_Compras!$H$111=""),AND(Plan_Compras!$J$111&gt;0,Plan_Compras!$K$111=""))),"",MIN(IF(Plan_Compras!$G$12&gt;0,Plan_Compras!$H$12,1E+99),IF(Plan_Compras!$J$12&gt;0,Plan_Compras!$K$12,1E+99),IF(Plan_Compras!$G$21&gt;0,Plan_Compras!$H$21,1E+99),IF(Plan_Compras!$J$21&gt;0,Plan_Compras!$K$21,1E+99),IF(Plan_Compras!$G$30&gt;0,Plan_Compras!$H$30,1E+99),IF(Plan_Compras!$J$30&gt;0,Plan_Compras!$K$30,1E+99),IF(Plan_Compras!$G$39&gt;0,Plan_Compras!$H$39,1E+99),IF(Plan_Compras!$J$39&gt;0,Plan_Compras!$K$39,1E+99),IF(Plan_Compras!$G$48&gt;0,Plan_Compras!$H$48,1E+99),IF(Plan_Compras!$J$48&gt;0,Plan_Compras!$K$48,1E+99),IF(Plan_Compras!$G$57&gt;0,Plan_Compras!$H$57,1E+99),IF(Plan_Compras!$J$57&gt;0,Plan_Compras!$K$57,1E+99),IF(Plan_Compras!$G$66&gt;0,Plan_Compras!$H$66,1E+99),IF(Plan_Compras!$J$66&gt;0,Plan_Compras!$K$66,1E+99),IF(Plan_Compras!$G$75&gt;0,Plan_Compras!$H$75,1E+99),IF(Plan_Compras!$J$75&gt;0,Plan_Compras!$K$75,1E+99),IF(Plan_Compras!$G$84&gt;0,Plan_Compras!$H$84,1E+99),IF(Plan_Compras!$J$84&gt;0,Plan_Compras!$K$84,1E+99),IF(Plan_Compras!$G$93&gt;0,Plan_Compras!$H$93,1E+99),IF(Plan_Compras!$J$93&gt;0,Plan_Compras!$K$93,1E+99),IF(Plan_Compras!$G$102&gt;0,Plan_Compras!$H$102,1E+99),IF(Plan_Compras!$J$102&gt;0,Plan_Compras!$K$102,1E+99),IF(Plan_Compras!$G$111&gt;0,Plan_Compras!$H$111,1E+99),IF(Plan_Compras!$J$111&gt;0,Plan_Compras!$K$111,1E+99)))</f>
        <v/>
      </c>
      <c r="G72" s="50" t="str">
        <f>IF(OR(E72="",OR(AND(Plan_Compras!$G$12&gt;0,Plan_Compras!$H$12=""),AND(Plan_Compras!$J$12&gt;0,Plan_Compras!$K$12=""),AND(Plan_Compras!$G$21&gt;0,Plan_Compras!$H$21=""),AND(Plan_Compras!$J$21&gt;0,Plan_Compras!$K$21=""),AND(Plan_Compras!$G$30&gt;0,Plan_Compras!$H$30=""),AND(Plan_Compras!$J$30&gt;0,Plan_Compras!$K$30=""),AND(Plan_Compras!$G$39&gt;0,Plan_Compras!$H$39=""),AND(Plan_Compras!$J$39&gt;0,Plan_Compras!$K$39=""),AND(Plan_Compras!$G$48&gt;0,Plan_Compras!$H$48=""),AND(Plan_Compras!$J$48&gt;0,Plan_Compras!$K$48=""),AND(Plan_Compras!$G$57&gt;0,Plan_Compras!$H$57=""),AND(Plan_Compras!$J$57&gt;0,Plan_Compras!$K$57=""),AND(Plan_Compras!$G$66&gt;0,Plan_Compras!$H$66=""),AND(Plan_Compras!$J$66&gt;0,Plan_Compras!$K$66=""),AND(Plan_Compras!$G$75&gt;0,Plan_Compras!$H$75=""),AND(Plan_Compras!$J$75&gt;0,Plan_Compras!$K$75=""),AND(Plan_Compras!$G$84&gt;0,Plan_Compras!$H$84=""),AND(Plan_Compras!$J$84&gt;0,Plan_Compras!$K$84=""),AND(Plan_Compras!$G$93&gt;0,Plan_Compras!$H$93=""),AND(Plan_Compras!$J$93&gt;0,Plan_Compras!$K$93=""),AND(Plan_Compras!$G$102&gt;0,Plan_Compras!$H$102=""),AND(Plan_Compras!$J$102&gt;0,Plan_Compras!$K$102=""),AND(Plan_Compras!$G$111&gt;0,Plan_Compras!$H$111=""),AND(Plan_Compras!$J$111&gt;0,Plan_Compras!$K$111=""))),"",MAX(IF(Plan_Compras!$G$12&gt;0,Plan_Compras!$H$12,-1E+99),IF(Plan_Compras!$J$12&gt;0,Plan_Compras!$K$12,-1E+99),IF(Plan_Compras!$G$21&gt;0,Plan_Compras!$H$21,-1E+99),IF(Plan_Compras!$J$21&gt;0,Plan_Compras!$K$21,-1E+99),IF(Plan_Compras!$G$30&gt;0,Plan_Compras!$H$30,-1E+99),IF(Plan_Compras!$J$30&gt;0,Plan_Compras!$K$30,-1E+99),IF(Plan_Compras!$G$39&gt;0,Plan_Compras!$H$39,-1E+99),IF(Plan_Compras!$J$39&gt;0,Plan_Compras!$K$39,-1E+99),IF(Plan_Compras!$G$48&gt;0,Plan_Compras!$H$48,-1E+99),IF(Plan_Compras!$J$48&gt;0,Plan_Compras!$K$48,-1E+99),IF(Plan_Compras!$G$57&gt;0,Plan_Compras!$H$57,-1E+99),IF(Plan_Compras!$J$57&gt;0,Plan_Compras!$K$57,-1E+99),IF(Plan_Compras!$G$66&gt;0,Plan_Compras!$H$66,-1E+99),IF(Plan_Compras!$J$66&gt;0,Plan_Compras!$K$66,-1E+99),IF(Plan_Compras!$G$75&gt;0,Plan_Compras!$H$75,-1E+99),IF(Plan_Compras!$J$75&gt;0,Plan_Compras!$K$75,-1E+99),IF(Plan_Compras!$G$84&gt;0,Plan_Compras!$H$84,-1E+99),IF(Plan_Compras!$J$84&gt;0,Plan_Compras!$K$84,-1E+99),IF(Plan_Compras!$G$93&gt;0,Plan_Compras!$H$93,-1E+99),IF(Plan_Compras!$J$93&gt;0,Plan_Compras!$K$93,-1E+99),IF(Plan_Compras!$G$102&gt;0,Plan_Compras!$H$102,-1E+99),IF(Plan_Compras!$J$102&gt;0,Plan_Compras!$K$102,-1E+99),IF(Plan_Compras!$G$111&gt;0,Plan_Compras!$H$111,-1E+99),IF(Plan_Compras!$J$111&gt;0,Plan_Compras!$K$111,-1E+99)))</f>
        <v/>
      </c>
      <c r="H72" s="50" t="str">
        <f t="shared" si="5"/>
        <v/>
      </c>
      <c r="I72" s="51" t="str">
        <f t="shared" si="6"/>
        <v/>
      </c>
      <c r="J72" s="49">
        <f>IF(COUNT(Plan_Compras!$F$12,Plan_Compras!$F$21,Plan_Compras!$F$30,Plan_Compras!$F$39,Plan_Compras!$F$48,Plan_Compras!$F$57,Plan_Compras!$F$66,Plan_Compras!$F$75,Plan_Compras!$F$84,Plan_Compras!$F$93,Plan_Compras!$F$102,Plan_Compras!$F$111)=0,"",SUM(Plan_Compras!$F$12,Plan_Compras!$F$21,Plan_Compras!$F$30,Plan_Compras!$F$39,Plan_Compras!$F$48,Plan_Compras!$F$57,Plan_Compras!$F$66,Plan_Compras!$F$75,Plan_Compras!$F$84,Plan_Compras!$F$93,Plan_Compras!$F$102,Plan_Compras!$F$111)-SUM(Plan_Compras!$E$12,Plan_Compras!$E$21,Plan_Compras!$E$30,Plan_Compras!$E$39,Plan_Compras!$E$48,Plan_Compras!$E$57,Plan_Compras!$E$66,Plan_Compras!$E$75,Plan_Compras!$E$84,Plan_Compras!$E$93,Plan_Compras!$E$102,Plan_Compras!$E$111))</f>
        <v>13.065326633166023</v>
      </c>
      <c r="K72" s="52" t="str">
        <f t="shared" si="7"/>
        <v/>
      </c>
    </row>
    <row r="73" spans="1:24">
      <c r="A73" s="48" t="str">
        <f>Maestro_Ingredientes!$B$13</f>
        <v>Vinagre de Jerez</v>
      </c>
      <c r="B73" s="49">
        <f>IF(COUNT(Plan_Compras!$F$13,Plan_Compras!$F$22,Plan_Compras!$F$31,Plan_Compras!$F$40,Plan_Compras!$F$49,Plan_Compras!$F$58,Plan_Compras!$F$67,Plan_Compras!$F$76,Plan_Compras!$F$85,Plan_Compras!$F$94,Plan_Compras!$F$103,Plan_Compras!$F$112)=0,"",SUM(Plan_Compras!$F$13,Plan_Compras!$F$22,Plan_Compras!$F$31,Plan_Compras!$F$40,Plan_Compras!$F$49,Plan_Compras!$F$58,Plan_Compras!$F$67,Plan_Compras!$F$76,Plan_Compras!$F$85,Plan_Compras!$F$94,Plan_Compras!$F$103,Plan_Compras!$F$112))</f>
        <v>1306.532663316583</v>
      </c>
      <c r="C73" s="49">
        <f>IF(COUNT(Plan_Compras!$M$13,Plan_Compras!$M$22,Plan_Compras!$M$31,Plan_Compras!$M$40,Plan_Compras!$M$49,Plan_Compras!$M$58,Plan_Compras!$M$67,Plan_Compras!$M$76,Plan_Compras!$M$85,Plan_Compras!$M$94,Plan_Compras!$M$103,Plan_Compras!$M$112)=0,"",SUM(Plan_Compras!$M$13,Plan_Compras!$M$22,Plan_Compras!$M$31,Plan_Compras!$M$40,Plan_Compras!$M$49,Plan_Compras!$M$58,Plan_Compras!$M$67,Plan_Compras!$M$76,Plan_Compras!$M$85,Plan_Compras!$M$94,Plan_Compras!$M$103,Plan_Compras!$M$112))</f>
        <v>1306.532663316583</v>
      </c>
      <c r="D73" s="49" t="str">
        <f>IF(COUNT(Plan_Compras!$N$13,Plan_Compras!$N$22,Plan_Compras!$N$31,Plan_Compras!$N$40,Plan_Compras!$N$49,Plan_Compras!$N$58,Plan_Compras!$N$67,Plan_Compras!$N$76,Plan_Compras!$N$85,Plan_Compras!$N$94,Plan_Compras!$N$103,Plan_Compras!$N$112)=0,"",SUM(Plan_Compras!$N$13,Plan_Compras!$N$22,Plan_Compras!$N$31,Plan_Compras!$N$40,Plan_Compras!$N$49,Plan_Compras!$N$58,Plan_Compras!$N$67,Plan_Compras!$N$76,Plan_Compras!$N$85,Plan_Compras!$N$94,Plan_Compras!$N$103,Plan_Compras!$N$112))</f>
        <v/>
      </c>
      <c r="E73" s="50" t="str">
        <f>IF(OR(C73="",C73=0,OR(AND(Plan_Compras!$G$13&gt;0,Plan_Compras!$H$13=""),AND(Plan_Compras!$J$13&gt;0,Plan_Compras!$K$13=""),AND(Plan_Compras!$G$22&gt;0,Plan_Compras!$H$22=""),AND(Plan_Compras!$J$22&gt;0,Plan_Compras!$K$22=""),AND(Plan_Compras!$G$31&gt;0,Plan_Compras!$H$31=""),AND(Plan_Compras!$J$31&gt;0,Plan_Compras!$K$31=""),AND(Plan_Compras!$G$40&gt;0,Plan_Compras!$H$40=""),AND(Plan_Compras!$J$40&gt;0,Plan_Compras!$K$40=""),AND(Plan_Compras!$G$49&gt;0,Plan_Compras!$H$49=""),AND(Plan_Compras!$J$49&gt;0,Plan_Compras!$K$49=""),AND(Plan_Compras!$G$58&gt;0,Plan_Compras!$H$58=""),AND(Plan_Compras!$J$58&gt;0,Plan_Compras!$K$58=""),AND(Plan_Compras!$G$67&gt;0,Plan_Compras!$H$67=""),AND(Plan_Compras!$J$67&gt;0,Plan_Compras!$K$67=""),AND(Plan_Compras!$G$76&gt;0,Plan_Compras!$H$76=""),AND(Plan_Compras!$J$76&gt;0,Plan_Compras!$K$76=""),AND(Plan_Compras!$G$85&gt;0,Plan_Compras!$H$85=""),AND(Plan_Compras!$J$85&gt;0,Plan_Compras!$K$85=""),AND(Plan_Compras!$G$94&gt;0,Plan_Compras!$H$94=""),AND(Plan_Compras!$J$94&gt;0,Plan_Compras!$K$94=""),AND(Plan_Compras!$G$103&gt;0,Plan_Compras!$H$103=""),AND(Plan_Compras!$J$103&gt;0,Plan_Compras!$K$103=""),AND(Plan_Compras!$G$112&gt;0,Plan_Compras!$H$112=""),AND(Plan_Compras!$J$112&gt;0,Plan_Compras!$K$112=""))),"",D73/C73)</f>
        <v/>
      </c>
      <c r="F73" s="50" t="str">
        <f>IF(OR(E73="",OR(AND(Plan_Compras!$G$13&gt;0,Plan_Compras!$H$13=""),AND(Plan_Compras!$J$13&gt;0,Plan_Compras!$K$13=""),AND(Plan_Compras!$G$22&gt;0,Plan_Compras!$H$22=""),AND(Plan_Compras!$J$22&gt;0,Plan_Compras!$K$22=""),AND(Plan_Compras!$G$31&gt;0,Plan_Compras!$H$31=""),AND(Plan_Compras!$J$31&gt;0,Plan_Compras!$K$31=""),AND(Plan_Compras!$G$40&gt;0,Plan_Compras!$H$40=""),AND(Plan_Compras!$J$40&gt;0,Plan_Compras!$K$40=""),AND(Plan_Compras!$G$49&gt;0,Plan_Compras!$H$49=""),AND(Plan_Compras!$J$49&gt;0,Plan_Compras!$K$49=""),AND(Plan_Compras!$G$58&gt;0,Plan_Compras!$H$58=""),AND(Plan_Compras!$J$58&gt;0,Plan_Compras!$K$58=""),AND(Plan_Compras!$G$67&gt;0,Plan_Compras!$H$67=""),AND(Plan_Compras!$J$67&gt;0,Plan_Compras!$K$67=""),AND(Plan_Compras!$G$76&gt;0,Plan_Compras!$H$76=""),AND(Plan_Compras!$J$76&gt;0,Plan_Compras!$K$76=""),AND(Plan_Compras!$G$85&gt;0,Plan_Compras!$H$85=""),AND(Plan_Compras!$J$85&gt;0,Plan_Compras!$K$85=""),AND(Plan_Compras!$G$94&gt;0,Plan_Compras!$H$94=""),AND(Plan_Compras!$J$94&gt;0,Plan_Compras!$K$94=""),AND(Plan_Compras!$G$103&gt;0,Plan_Compras!$H$103=""),AND(Plan_Compras!$J$103&gt;0,Plan_Compras!$K$103=""),AND(Plan_Compras!$G$112&gt;0,Plan_Compras!$H$112=""),AND(Plan_Compras!$J$112&gt;0,Plan_Compras!$K$112=""))),"",MIN(IF(Plan_Compras!$G$13&gt;0,Plan_Compras!$H$13,1E+99),IF(Plan_Compras!$J$13&gt;0,Plan_Compras!$K$13,1E+99),IF(Plan_Compras!$G$22&gt;0,Plan_Compras!$H$22,1E+99),IF(Plan_Compras!$J$22&gt;0,Plan_Compras!$K$22,1E+99),IF(Plan_Compras!$G$31&gt;0,Plan_Compras!$H$31,1E+99),IF(Plan_Compras!$J$31&gt;0,Plan_Compras!$K$31,1E+99),IF(Plan_Compras!$G$40&gt;0,Plan_Compras!$H$40,1E+99),IF(Plan_Compras!$J$40&gt;0,Plan_Compras!$K$40,1E+99),IF(Plan_Compras!$G$49&gt;0,Plan_Compras!$H$49,1E+99),IF(Plan_Compras!$J$49&gt;0,Plan_Compras!$K$49,1E+99),IF(Plan_Compras!$G$58&gt;0,Plan_Compras!$H$58,1E+99),IF(Plan_Compras!$J$58&gt;0,Plan_Compras!$K$58,1E+99),IF(Plan_Compras!$G$67&gt;0,Plan_Compras!$H$67,1E+99),IF(Plan_Compras!$J$67&gt;0,Plan_Compras!$K$67,1E+99),IF(Plan_Compras!$G$76&gt;0,Plan_Compras!$H$76,1E+99),IF(Plan_Compras!$J$76&gt;0,Plan_Compras!$K$76,1E+99),IF(Plan_Compras!$G$85&gt;0,Plan_Compras!$H$85,1E+99),IF(Plan_Compras!$J$85&gt;0,Plan_Compras!$K$85,1E+99),IF(Plan_Compras!$G$94&gt;0,Plan_Compras!$H$94,1E+99),IF(Plan_Compras!$J$94&gt;0,Plan_Compras!$K$94,1E+99),IF(Plan_Compras!$G$103&gt;0,Plan_Compras!$H$103,1E+99),IF(Plan_Compras!$J$103&gt;0,Plan_Compras!$K$103,1E+99),IF(Plan_Compras!$G$112&gt;0,Plan_Compras!$H$112,1E+99),IF(Plan_Compras!$J$112&gt;0,Plan_Compras!$K$112,1E+99)))</f>
        <v/>
      </c>
      <c r="G73" s="50" t="str">
        <f>IF(OR(E73="",OR(AND(Plan_Compras!$G$13&gt;0,Plan_Compras!$H$13=""),AND(Plan_Compras!$J$13&gt;0,Plan_Compras!$K$13=""),AND(Plan_Compras!$G$22&gt;0,Plan_Compras!$H$22=""),AND(Plan_Compras!$J$22&gt;0,Plan_Compras!$K$22=""),AND(Plan_Compras!$G$31&gt;0,Plan_Compras!$H$31=""),AND(Plan_Compras!$J$31&gt;0,Plan_Compras!$K$31=""),AND(Plan_Compras!$G$40&gt;0,Plan_Compras!$H$40=""),AND(Plan_Compras!$J$40&gt;0,Plan_Compras!$K$40=""),AND(Plan_Compras!$G$49&gt;0,Plan_Compras!$H$49=""),AND(Plan_Compras!$J$49&gt;0,Plan_Compras!$K$49=""),AND(Plan_Compras!$G$58&gt;0,Plan_Compras!$H$58=""),AND(Plan_Compras!$J$58&gt;0,Plan_Compras!$K$58=""),AND(Plan_Compras!$G$67&gt;0,Plan_Compras!$H$67=""),AND(Plan_Compras!$J$67&gt;0,Plan_Compras!$K$67=""),AND(Plan_Compras!$G$76&gt;0,Plan_Compras!$H$76=""),AND(Plan_Compras!$J$76&gt;0,Plan_Compras!$K$76=""),AND(Plan_Compras!$G$85&gt;0,Plan_Compras!$H$85=""),AND(Plan_Compras!$J$85&gt;0,Plan_Compras!$K$85=""),AND(Plan_Compras!$G$94&gt;0,Plan_Compras!$H$94=""),AND(Plan_Compras!$J$94&gt;0,Plan_Compras!$K$94=""),AND(Plan_Compras!$G$103&gt;0,Plan_Compras!$H$103=""),AND(Plan_Compras!$J$103&gt;0,Plan_Compras!$K$103=""),AND(Plan_Compras!$G$112&gt;0,Plan_Compras!$H$112=""),AND(Plan_Compras!$J$112&gt;0,Plan_Compras!$K$112=""))),"",MAX(IF(Plan_Compras!$G$13&gt;0,Plan_Compras!$H$13,-1E+99),IF(Plan_Compras!$J$13&gt;0,Plan_Compras!$K$13,-1E+99),IF(Plan_Compras!$G$22&gt;0,Plan_Compras!$H$22,-1E+99),IF(Plan_Compras!$J$22&gt;0,Plan_Compras!$K$22,-1E+99),IF(Plan_Compras!$G$31&gt;0,Plan_Compras!$H$31,-1E+99),IF(Plan_Compras!$J$31&gt;0,Plan_Compras!$K$31,-1E+99),IF(Plan_Compras!$G$40&gt;0,Plan_Compras!$H$40,-1E+99),IF(Plan_Compras!$J$40&gt;0,Plan_Compras!$K$40,-1E+99),IF(Plan_Compras!$G$49&gt;0,Plan_Compras!$H$49,-1E+99),IF(Plan_Compras!$J$49&gt;0,Plan_Compras!$K$49,-1E+99),IF(Plan_Compras!$G$58&gt;0,Plan_Compras!$H$58,-1E+99),IF(Plan_Compras!$J$58&gt;0,Plan_Compras!$K$58,-1E+99),IF(Plan_Compras!$G$67&gt;0,Plan_Compras!$H$67,-1E+99),IF(Plan_Compras!$J$67&gt;0,Plan_Compras!$K$67,-1E+99),IF(Plan_Compras!$G$76&gt;0,Plan_Compras!$H$76,-1E+99),IF(Plan_Compras!$J$76&gt;0,Plan_Compras!$K$76,-1E+99),IF(Plan_Compras!$G$85&gt;0,Plan_Compras!$H$85,-1E+99),IF(Plan_Compras!$J$85&gt;0,Plan_Compras!$K$85,-1E+99),IF(Plan_Compras!$G$94&gt;0,Plan_Compras!$H$94,-1E+99),IF(Plan_Compras!$J$94&gt;0,Plan_Compras!$K$94,-1E+99),IF(Plan_Compras!$G$103&gt;0,Plan_Compras!$H$103,-1E+99),IF(Plan_Compras!$J$103&gt;0,Plan_Compras!$K$103,-1E+99),IF(Plan_Compras!$G$112&gt;0,Plan_Compras!$H$112,-1E+99),IF(Plan_Compras!$J$112&gt;0,Plan_Compras!$K$112,-1E+99)))</f>
        <v/>
      </c>
      <c r="H73" s="50" t="str">
        <f t="shared" si="5"/>
        <v/>
      </c>
      <c r="I73" s="51" t="str">
        <f t="shared" si="6"/>
        <v/>
      </c>
      <c r="J73" s="49">
        <f>IF(COUNT(Plan_Compras!$F$13,Plan_Compras!$F$22,Plan_Compras!$F$31,Plan_Compras!$F$40,Plan_Compras!$F$49,Plan_Compras!$F$58,Plan_Compras!$F$67,Plan_Compras!$F$76,Plan_Compras!$F$85,Plan_Compras!$F$94,Plan_Compras!$F$103,Plan_Compras!$F$112)=0,"",SUM(Plan_Compras!$F$13,Plan_Compras!$F$22,Plan_Compras!$F$31,Plan_Compras!$F$40,Plan_Compras!$F$49,Plan_Compras!$F$58,Plan_Compras!$F$67,Plan_Compras!$F$76,Plan_Compras!$F$85,Plan_Compras!$F$94,Plan_Compras!$F$103,Plan_Compras!$F$112)-SUM(Plan_Compras!$E$13,Plan_Compras!$E$22,Plan_Compras!$E$31,Plan_Compras!$E$40,Plan_Compras!$E$49,Plan_Compras!$E$58,Plan_Compras!$E$67,Plan_Compras!$E$76,Plan_Compras!$E$85,Plan_Compras!$E$94,Plan_Compras!$E$103,Plan_Compras!$E$112))</f>
        <v>6.5326633165830117</v>
      </c>
      <c r="K73" s="52" t="str">
        <f t="shared" si="7"/>
        <v/>
      </c>
    </row>
    <row r="74" spans="1:24">
      <c r="A74" s="48" t="str">
        <f>Maestro_Ingredientes!$B$14</f>
        <v>Sal</v>
      </c>
      <c r="B74" s="49">
        <f>IF(COUNT(Plan_Compras!$F$14,Plan_Compras!$F$23,Plan_Compras!$F$32,Plan_Compras!$F$41,Plan_Compras!$F$50,Plan_Compras!$F$59,Plan_Compras!$F$68,Plan_Compras!$F$77,Plan_Compras!$F$86,Plan_Compras!$F$95,Plan_Compras!$F$104,Plan_Compras!$F$113)=0,"",SUM(Plan_Compras!$F$14,Plan_Compras!$F$23,Plan_Compras!$F$32,Plan_Compras!$F$41,Plan_Compras!$F$50,Plan_Compras!$F$59,Plan_Compras!$F$68,Plan_Compras!$F$77,Plan_Compras!$F$86,Plan_Compras!$F$95,Plan_Compras!$F$104,Plan_Compras!$F$113))</f>
        <v>700</v>
      </c>
      <c r="C74" s="49">
        <f>IF(COUNT(Plan_Compras!$M$14,Plan_Compras!$M$23,Plan_Compras!$M$32,Plan_Compras!$M$41,Plan_Compras!$M$50,Plan_Compras!$M$59,Plan_Compras!$M$68,Plan_Compras!$M$77,Plan_Compras!$M$86,Plan_Compras!$M$95,Plan_Compras!$M$104,Plan_Compras!$M$113)=0,"",SUM(Plan_Compras!$M$14,Plan_Compras!$M$23,Plan_Compras!$M$32,Plan_Compras!$M$41,Plan_Compras!$M$50,Plan_Compras!$M$59,Plan_Compras!$M$68,Plan_Compras!$M$77,Plan_Compras!$M$86,Plan_Compras!$M$95,Plan_Compras!$M$104,Plan_Compras!$M$113))</f>
        <v>700</v>
      </c>
      <c r="D74" s="49" t="str">
        <f>IF(COUNT(Plan_Compras!$N$14,Plan_Compras!$N$23,Plan_Compras!$N$32,Plan_Compras!$N$41,Plan_Compras!$N$50,Plan_Compras!$N$59,Plan_Compras!$N$68,Plan_Compras!$N$77,Plan_Compras!$N$86,Plan_Compras!$N$95,Plan_Compras!$N$104,Plan_Compras!$N$113)=0,"",SUM(Plan_Compras!$N$14,Plan_Compras!$N$23,Plan_Compras!$N$32,Plan_Compras!$N$41,Plan_Compras!$N$50,Plan_Compras!$N$59,Plan_Compras!$N$68,Plan_Compras!$N$77,Plan_Compras!$N$86,Plan_Compras!$N$95,Plan_Compras!$N$104,Plan_Compras!$N$113))</f>
        <v/>
      </c>
      <c r="E74" s="50" t="str">
        <f>IF(OR(C74="",C74=0,OR(AND(Plan_Compras!$G$14&gt;0,Plan_Compras!$H$14=""),AND(Plan_Compras!$J$14&gt;0,Plan_Compras!$K$14=""),AND(Plan_Compras!$G$23&gt;0,Plan_Compras!$H$23=""),AND(Plan_Compras!$J$23&gt;0,Plan_Compras!$K$23=""),AND(Plan_Compras!$G$32&gt;0,Plan_Compras!$H$32=""),AND(Plan_Compras!$J$32&gt;0,Plan_Compras!$K$32=""),AND(Plan_Compras!$G$41&gt;0,Plan_Compras!$H$41=""),AND(Plan_Compras!$J$41&gt;0,Plan_Compras!$K$41=""),AND(Plan_Compras!$G$50&gt;0,Plan_Compras!$H$50=""),AND(Plan_Compras!$J$50&gt;0,Plan_Compras!$K$50=""),AND(Plan_Compras!$G$59&gt;0,Plan_Compras!$H$59=""),AND(Plan_Compras!$J$59&gt;0,Plan_Compras!$K$59=""),AND(Plan_Compras!$G$68&gt;0,Plan_Compras!$H$68=""),AND(Plan_Compras!$J$68&gt;0,Plan_Compras!$K$68=""),AND(Plan_Compras!$G$77&gt;0,Plan_Compras!$H$77=""),AND(Plan_Compras!$J$77&gt;0,Plan_Compras!$K$77=""),AND(Plan_Compras!$G$86&gt;0,Plan_Compras!$H$86=""),AND(Plan_Compras!$J$86&gt;0,Plan_Compras!$K$86=""),AND(Plan_Compras!$G$95&gt;0,Plan_Compras!$H$95=""),AND(Plan_Compras!$J$95&gt;0,Plan_Compras!$K$95=""),AND(Plan_Compras!$G$104&gt;0,Plan_Compras!$H$104=""),AND(Plan_Compras!$J$104&gt;0,Plan_Compras!$K$104=""),AND(Plan_Compras!$G$113&gt;0,Plan_Compras!$H$113=""),AND(Plan_Compras!$J$113&gt;0,Plan_Compras!$K$113=""))),"",D74/C74)</f>
        <v/>
      </c>
      <c r="F74" s="50" t="str">
        <f>IF(OR(E74="",OR(AND(Plan_Compras!$G$14&gt;0,Plan_Compras!$H$14=""),AND(Plan_Compras!$J$14&gt;0,Plan_Compras!$K$14=""),AND(Plan_Compras!$G$23&gt;0,Plan_Compras!$H$23=""),AND(Plan_Compras!$J$23&gt;0,Plan_Compras!$K$23=""),AND(Plan_Compras!$G$32&gt;0,Plan_Compras!$H$32=""),AND(Plan_Compras!$J$32&gt;0,Plan_Compras!$K$32=""),AND(Plan_Compras!$G$41&gt;0,Plan_Compras!$H$41=""),AND(Plan_Compras!$J$41&gt;0,Plan_Compras!$K$41=""),AND(Plan_Compras!$G$50&gt;0,Plan_Compras!$H$50=""),AND(Plan_Compras!$J$50&gt;0,Plan_Compras!$K$50=""),AND(Plan_Compras!$G$59&gt;0,Plan_Compras!$H$59=""),AND(Plan_Compras!$J$59&gt;0,Plan_Compras!$K$59=""),AND(Plan_Compras!$G$68&gt;0,Plan_Compras!$H$68=""),AND(Plan_Compras!$J$68&gt;0,Plan_Compras!$K$68=""),AND(Plan_Compras!$G$77&gt;0,Plan_Compras!$H$77=""),AND(Plan_Compras!$J$77&gt;0,Plan_Compras!$K$77=""),AND(Plan_Compras!$G$86&gt;0,Plan_Compras!$H$86=""),AND(Plan_Compras!$J$86&gt;0,Plan_Compras!$K$86=""),AND(Plan_Compras!$G$95&gt;0,Plan_Compras!$H$95=""),AND(Plan_Compras!$J$95&gt;0,Plan_Compras!$K$95=""),AND(Plan_Compras!$G$104&gt;0,Plan_Compras!$H$104=""),AND(Plan_Compras!$J$104&gt;0,Plan_Compras!$K$104=""),AND(Plan_Compras!$G$113&gt;0,Plan_Compras!$H$113=""),AND(Plan_Compras!$J$113&gt;0,Plan_Compras!$K$113=""))),"",MIN(IF(Plan_Compras!$G$14&gt;0,Plan_Compras!$H$14,1E+99),IF(Plan_Compras!$J$14&gt;0,Plan_Compras!$K$14,1E+99),IF(Plan_Compras!$G$23&gt;0,Plan_Compras!$H$23,1E+99),IF(Plan_Compras!$J$23&gt;0,Plan_Compras!$K$23,1E+99),IF(Plan_Compras!$G$32&gt;0,Plan_Compras!$H$32,1E+99),IF(Plan_Compras!$J$32&gt;0,Plan_Compras!$K$32,1E+99),IF(Plan_Compras!$G$41&gt;0,Plan_Compras!$H$41,1E+99),IF(Plan_Compras!$J$41&gt;0,Plan_Compras!$K$41,1E+99),IF(Plan_Compras!$G$50&gt;0,Plan_Compras!$H$50,1E+99),IF(Plan_Compras!$J$50&gt;0,Plan_Compras!$K$50,1E+99),IF(Plan_Compras!$G$59&gt;0,Plan_Compras!$H$59,1E+99),IF(Plan_Compras!$J$59&gt;0,Plan_Compras!$K$59,1E+99),IF(Plan_Compras!$G$68&gt;0,Plan_Compras!$H$68,1E+99),IF(Plan_Compras!$J$68&gt;0,Plan_Compras!$K$68,1E+99),IF(Plan_Compras!$G$77&gt;0,Plan_Compras!$H$77,1E+99),IF(Plan_Compras!$J$77&gt;0,Plan_Compras!$K$77,1E+99),IF(Plan_Compras!$G$86&gt;0,Plan_Compras!$H$86,1E+99),IF(Plan_Compras!$J$86&gt;0,Plan_Compras!$K$86,1E+99),IF(Plan_Compras!$G$95&gt;0,Plan_Compras!$H$95,1E+99),IF(Plan_Compras!$J$95&gt;0,Plan_Compras!$K$95,1E+99),IF(Plan_Compras!$G$104&gt;0,Plan_Compras!$H$104,1E+99),IF(Plan_Compras!$J$104&gt;0,Plan_Compras!$K$104,1E+99),IF(Plan_Compras!$G$113&gt;0,Plan_Compras!$H$113,1E+99),IF(Plan_Compras!$J$113&gt;0,Plan_Compras!$K$113,1E+99)))</f>
        <v/>
      </c>
      <c r="G74" s="50" t="str">
        <f>IF(OR(E74="",OR(AND(Plan_Compras!$G$14&gt;0,Plan_Compras!$H$14=""),AND(Plan_Compras!$J$14&gt;0,Plan_Compras!$K$14=""),AND(Plan_Compras!$G$23&gt;0,Plan_Compras!$H$23=""),AND(Plan_Compras!$J$23&gt;0,Plan_Compras!$K$23=""),AND(Plan_Compras!$G$32&gt;0,Plan_Compras!$H$32=""),AND(Plan_Compras!$J$32&gt;0,Plan_Compras!$K$32=""),AND(Plan_Compras!$G$41&gt;0,Plan_Compras!$H$41=""),AND(Plan_Compras!$J$41&gt;0,Plan_Compras!$K$41=""),AND(Plan_Compras!$G$50&gt;0,Plan_Compras!$H$50=""),AND(Plan_Compras!$J$50&gt;0,Plan_Compras!$K$50=""),AND(Plan_Compras!$G$59&gt;0,Plan_Compras!$H$59=""),AND(Plan_Compras!$J$59&gt;0,Plan_Compras!$K$59=""),AND(Plan_Compras!$G$68&gt;0,Plan_Compras!$H$68=""),AND(Plan_Compras!$J$68&gt;0,Plan_Compras!$K$68=""),AND(Plan_Compras!$G$77&gt;0,Plan_Compras!$H$77=""),AND(Plan_Compras!$J$77&gt;0,Plan_Compras!$K$77=""),AND(Plan_Compras!$G$86&gt;0,Plan_Compras!$H$86=""),AND(Plan_Compras!$J$86&gt;0,Plan_Compras!$K$86=""),AND(Plan_Compras!$G$95&gt;0,Plan_Compras!$H$95=""),AND(Plan_Compras!$J$95&gt;0,Plan_Compras!$K$95=""),AND(Plan_Compras!$G$104&gt;0,Plan_Compras!$H$104=""),AND(Plan_Compras!$J$104&gt;0,Plan_Compras!$K$104=""),AND(Plan_Compras!$G$113&gt;0,Plan_Compras!$H$113=""),AND(Plan_Compras!$J$113&gt;0,Plan_Compras!$K$113=""))),"",MAX(IF(Plan_Compras!$G$14&gt;0,Plan_Compras!$H$14,-1E+99),IF(Plan_Compras!$J$14&gt;0,Plan_Compras!$K$14,-1E+99),IF(Plan_Compras!$G$23&gt;0,Plan_Compras!$H$23,-1E+99),IF(Plan_Compras!$J$23&gt;0,Plan_Compras!$K$23,-1E+99),IF(Plan_Compras!$G$32&gt;0,Plan_Compras!$H$32,-1E+99),IF(Plan_Compras!$J$32&gt;0,Plan_Compras!$K$32,-1E+99),IF(Plan_Compras!$G$41&gt;0,Plan_Compras!$H$41,-1E+99),IF(Plan_Compras!$J$41&gt;0,Plan_Compras!$K$41,-1E+99),IF(Plan_Compras!$G$50&gt;0,Plan_Compras!$H$50,-1E+99),IF(Plan_Compras!$J$50&gt;0,Plan_Compras!$K$50,-1E+99),IF(Plan_Compras!$G$59&gt;0,Plan_Compras!$H$59,-1E+99),IF(Plan_Compras!$J$59&gt;0,Plan_Compras!$K$59,-1E+99),IF(Plan_Compras!$G$68&gt;0,Plan_Compras!$H$68,-1E+99),IF(Plan_Compras!$J$68&gt;0,Plan_Compras!$K$68,-1E+99),IF(Plan_Compras!$G$77&gt;0,Plan_Compras!$H$77,-1E+99),IF(Plan_Compras!$J$77&gt;0,Plan_Compras!$K$77,-1E+99),IF(Plan_Compras!$G$86&gt;0,Plan_Compras!$H$86,-1E+99),IF(Plan_Compras!$J$86&gt;0,Plan_Compras!$K$86,-1E+99),IF(Plan_Compras!$G$95&gt;0,Plan_Compras!$H$95,-1E+99),IF(Plan_Compras!$J$95&gt;0,Plan_Compras!$K$95,-1E+99),IF(Plan_Compras!$G$104&gt;0,Plan_Compras!$H$104,-1E+99),IF(Plan_Compras!$J$104&gt;0,Plan_Compras!$K$104,-1E+99),IF(Plan_Compras!$G$113&gt;0,Plan_Compras!$H$113,-1E+99),IF(Plan_Compras!$J$113&gt;0,Plan_Compras!$K$113,-1E+99)))</f>
        <v/>
      </c>
      <c r="H74" s="50" t="str">
        <f t="shared" si="5"/>
        <v/>
      </c>
      <c r="I74" s="51" t="str">
        <f t="shared" si="6"/>
        <v/>
      </c>
      <c r="J74" s="49">
        <f>IF(COUNT(Plan_Compras!$F$14,Plan_Compras!$F$23,Plan_Compras!$F$32,Plan_Compras!$F$41,Plan_Compras!$F$50,Plan_Compras!$F$59,Plan_Compras!$F$68,Plan_Compras!$F$77,Plan_Compras!$F$86,Plan_Compras!$F$95,Plan_Compras!$F$104,Plan_Compras!$F$113)=0,"",SUM(Plan_Compras!$F$14,Plan_Compras!$F$23,Plan_Compras!$F$32,Plan_Compras!$F$41,Plan_Compras!$F$50,Plan_Compras!$F$59,Plan_Compras!$F$68,Plan_Compras!$F$77,Plan_Compras!$F$86,Plan_Compras!$F$95,Plan_Compras!$F$104,Plan_Compras!$F$113)-SUM(Plan_Compras!$E$14,Plan_Compras!$E$23,Plan_Compras!$E$32,Plan_Compras!$E$41,Plan_Compras!$E$50,Plan_Compras!$E$59,Plan_Compras!$E$68,Plan_Compras!$E$77,Plan_Compras!$E$86,Plan_Compras!$E$95,Plan_Compras!$E$104,Plan_Compras!$E$113))</f>
        <v>0</v>
      </c>
      <c r="K74" s="52" t="str">
        <f t="shared" si="7"/>
        <v/>
      </c>
    </row>
    <row r="75" spans="1:24">
      <c r="A75" s="48" t="str">
        <f>Maestro_Ingredientes!$B$15</f>
        <v>Zumo de limón</v>
      </c>
      <c r="B75" s="49">
        <f>IF(COUNT(Plan_Compras!$F$15,Plan_Compras!$F$24,Plan_Compras!$F$33,Plan_Compras!$F$42,Plan_Compras!$F$51,Plan_Compras!$F$60,Plan_Compras!$F$69,Plan_Compras!$F$78,Plan_Compras!$F$87,Plan_Compras!$F$96,Plan_Compras!$F$105,Plan_Compras!$F$114)=0,"",SUM(Plan_Compras!$F$15,Plan_Compras!$F$24,Plan_Compras!$F$33,Plan_Compras!$F$42,Plan_Compras!$F$51,Plan_Compras!$F$60,Plan_Compras!$F$69,Plan_Compras!$F$78,Plan_Compras!$F$87,Plan_Compras!$F$96,Plan_Compras!$F$105,Plan_Compras!$F$114))</f>
        <v>408.16326530612247</v>
      </c>
      <c r="C75" s="49">
        <f>IF(COUNT(Plan_Compras!$M$15,Plan_Compras!$M$24,Plan_Compras!$M$33,Plan_Compras!$M$42,Plan_Compras!$M$51,Plan_Compras!$M$60,Plan_Compras!$M$69,Plan_Compras!$M$78,Plan_Compras!$M$87,Plan_Compras!$M$96,Plan_Compras!$M$105,Plan_Compras!$M$114)=0,"",SUM(Plan_Compras!$M$15,Plan_Compras!$M$24,Plan_Compras!$M$33,Plan_Compras!$M$42,Plan_Compras!$M$51,Plan_Compras!$M$60,Plan_Compras!$M$69,Plan_Compras!$M$78,Plan_Compras!$M$87,Plan_Compras!$M$96,Plan_Compras!$M$105,Plan_Compras!$M$114))</f>
        <v>408.16326530612247</v>
      </c>
      <c r="D75" s="49" t="str">
        <f>IF(COUNT(Plan_Compras!$N$15,Plan_Compras!$N$24,Plan_Compras!$N$33,Plan_Compras!$N$42,Plan_Compras!$N$51,Plan_Compras!$N$60,Plan_Compras!$N$69,Plan_Compras!$N$78,Plan_Compras!$N$87,Plan_Compras!$N$96,Plan_Compras!$N$105,Plan_Compras!$N$114)=0,"",SUM(Plan_Compras!$N$15,Plan_Compras!$N$24,Plan_Compras!$N$33,Plan_Compras!$N$42,Plan_Compras!$N$51,Plan_Compras!$N$60,Plan_Compras!$N$69,Plan_Compras!$N$78,Plan_Compras!$N$87,Plan_Compras!$N$96,Plan_Compras!$N$105,Plan_Compras!$N$114))</f>
        <v/>
      </c>
      <c r="E75" s="50" t="str">
        <f>IF(OR(C75="",C75=0,OR(AND(Plan_Compras!$G$15&gt;0,Plan_Compras!$H$15=""),AND(Plan_Compras!$J$15&gt;0,Plan_Compras!$K$15=""),AND(Plan_Compras!$G$24&gt;0,Plan_Compras!$H$24=""),AND(Plan_Compras!$J$24&gt;0,Plan_Compras!$K$24=""),AND(Plan_Compras!$G$33&gt;0,Plan_Compras!$H$33=""),AND(Plan_Compras!$J$33&gt;0,Plan_Compras!$K$33=""),AND(Plan_Compras!$G$42&gt;0,Plan_Compras!$H$42=""),AND(Plan_Compras!$J$42&gt;0,Plan_Compras!$K$42=""),AND(Plan_Compras!$G$51&gt;0,Plan_Compras!$H$51=""),AND(Plan_Compras!$J$51&gt;0,Plan_Compras!$K$51=""),AND(Plan_Compras!$G$60&gt;0,Plan_Compras!$H$60=""),AND(Plan_Compras!$J$60&gt;0,Plan_Compras!$K$60=""),AND(Plan_Compras!$G$69&gt;0,Plan_Compras!$H$69=""),AND(Plan_Compras!$J$69&gt;0,Plan_Compras!$K$69=""),AND(Plan_Compras!$G$78&gt;0,Plan_Compras!$H$78=""),AND(Plan_Compras!$J$78&gt;0,Plan_Compras!$K$78=""),AND(Plan_Compras!$G$87&gt;0,Plan_Compras!$H$87=""),AND(Plan_Compras!$J$87&gt;0,Plan_Compras!$K$87=""),AND(Plan_Compras!$G$96&gt;0,Plan_Compras!$H$96=""),AND(Plan_Compras!$J$96&gt;0,Plan_Compras!$K$96=""),AND(Plan_Compras!$G$105&gt;0,Plan_Compras!$H$105=""),AND(Plan_Compras!$J$105&gt;0,Plan_Compras!$K$105=""),AND(Plan_Compras!$G$114&gt;0,Plan_Compras!$H$114=""),AND(Plan_Compras!$J$114&gt;0,Plan_Compras!$K$114=""))),"",D75/C75)</f>
        <v/>
      </c>
      <c r="F75" s="50" t="str">
        <f>IF(OR(E75="",OR(AND(Plan_Compras!$G$15&gt;0,Plan_Compras!$H$15=""),AND(Plan_Compras!$J$15&gt;0,Plan_Compras!$K$15=""),AND(Plan_Compras!$G$24&gt;0,Plan_Compras!$H$24=""),AND(Plan_Compras!$J$24&gt;0,Plan_Compras!$K$24=""),AND(Plan_Compras!$G$33&gt;0,Plan_Compras!$H$33=""),AND(Plan_Compras!$J$33&gt;0,Plan_Compras!$K$33=""),AND(Plan_Compras!$G$42&gt;0,Plan_Compras!$H$42=""),AND(Plan_Compras!$J$42&gt;0,Plan_Compras!$K$42=""),AND(Plan_Compras!$G$51&gt;0,Plan_Compras!$H$51=""),AND(Plan_Compras!$J$51&gt;0,Plan_Compras!$K$51=""),AND(Plan_Compras!$G$60&gt;0,Plan_Compras!$H$60=""),AND(Plan_Compras!$J$60&gt;0,Plan_Compras!$K$60=""),AND(Plan_Compras!$G$69&gt;0,Plan_Compras!$H$69=""),AND(Plan_Compras!$J$69&gt;0,Plan_Compras!$K$69=""),AND(Plan_Compras!$G$78&gt;0,Plan_Compras!$H$78=""),AND(Plan_Compras!$J$78&gt;0,Plan_Compras!$K$78=""),AND(Plan_Compras!$G$87&gt;0,Plan_Compras!$H$87=""),AND(Plan_Compras!$J$87&gt;0,Plan_Compras!$K$87=""),AND(Plan_Compras!$G$96&gt;0,Plan_Compras!$H$96=""),AND(Plan_Compras!$J$96&gt;0,Plan_Compras!$K$96=""),AND(Plan_Compras!$G$105&gt;0,Plan_Compras!$H$105=""),AND(Plan_Compras!$J$105&gt;0,Plan_Compras!$K$105=""),AND(Plan_Compras!$G$114&gt;0,Plan_Compras!$H$114=""),AND(Plan_Compras!$J$114&gt;0,Plan_Compras!$K$114=""))),"",MIN(IF(Plan_Compras!$G$15&gt;0,Plan_Compras!$H$15,1E+99),IF(Plan_Compras!$J$15&gt;0,Plan_Compras!$K$15,1E+99),IF(Plan_Compras!$G$24&gt;0,Plan_Compras!$H$24,1E+99),IF(Plan_Compras!$J$24&gt;0,Plan_Compras!$K$24,1E+99),IF(Plan_Compras!$G$33&gt;0,Plan_Compras!$H$33,1E+99),IF(Plan_Compras!$J$33&gt;0,Plan_Compras!$K$33,1E+99),IF(Plan_Compras!$G$42&gt;0,Plan_Compras!$H$42,1E+99),IF(Plan_Compras!$J$42&gt;0,Plan_Compras!$K$42,1E+99),IF(Plan_Compras!$G$51&gt;0,Plan_Compras!$H$51,1E+99),IF(Plan_Compras!$J$51&gt;0,Plan_Compras!$K$51,1E+99),IF(Plan_Compras!$G$60&gt;0,Plan_Compras!$H$60,1E+99),IF(Plan_Compras!$J$60&gt;0,Plan_Compras!$K$60,1E+99),IF(Plan_Compras!$G$69&gt;0,Plan_Compras!$H$69,1E+99),IF(Plan_Compras!$J$69&gt;0,Plan_Compras!$K$69,1E+99),IF(Plan_Compras!$G$78&gt;0,Plan_Compras!$H$78,1E+99),IF(Plan_Compras!$J$78&gt;0,Plan_Compras!$K$78,1E+99),IF(Plan_Compras!$G$87&gt;0,Plan_Compras!$H$87,1E+99),IF(Plan_Compras!$J$87&gt;0,Plan_Compras!$K$87,1E+99),IF(Plan_Compras!$G$96&gt;0,Plan_Compras!$H$96,1E+99),IF(Plan_Compras!$J$96&gt;0,Plan_Compras!$K$96,1E+99),IF(Plan_Compras!$G$105&gt;0,Plan_Compras!$H$105,1E+99),IF(Plan_Compras!$J$105&gt;0,Plan_Compras!$K$105,1E+99),IF(Plan_Compras!$G$114&gt;0,Plan_Compras!$H$114,1E+99),IF(Plan_Compras!$J$114&gt;0,Plan_Compras!$K$114,1E+99)))</f>
        <v/>
      </c>
      <c r="G75" s="50" t="str">
        <f>IF(OR(E75="",OR(AND(Plan_Compras!$G$15&gt;0,Plan_Compras!$H$15=""),AND(Plan_Compras!$J$15&gt;0,Plan_Compras!$K$15=""),AND(Plan_Compras!$G$24&gt;0,Plan_Compras!$H$24=""),AND(Plan_Compras!$J$24&gt;0,Plan_Compras!$K$24=""),AND(Plan_Compras!$G$33&gt;0,Plan_Compras!$H$33=""),AND(Plan_Compras!$J$33&gt;0,Plan_Compras!$K$33=""),AND(Plan_Compras!$G$42&gt;0,Plan_Compras!$H$42=""),AND(Plan_Compras!$J$42&gt;0,Plan_Compras!$K$42=""),AND(Plan_Compras!$G$51&gt;0,Plan_Compras!$H$51=""),AND(Plan_Compras!$J$51&gt;0,Plan_Compras!$K$51=""),AND(Plan_Compras!$G$60&gt;0,Plan_Compras!$H$60=""),AND(Plan_Compras!$J$60&gt;0,Plan_Compras!$K$60=""),AND(Plan_Compras!$G$69&gt;0,Plan_Compras!$H$69=""),AND(Plan_Compras!$J$69&gt;0,Plan_Compras!$K$69=""),AND(Plan_Compras!$G$78&gt;0,Plan_Compras!$H$78=""),AND(Plan_Compras!$J$78&gt;0,Plan_Compras!$K$78=""),AND(Plan_Compras!$G$87&gt;0,Plan_Compras!$H$87=""),AND(Plan_Compras!$J$87&gt;0,Plan_Compras!$K$87=""),AND(Plan_Compras!$G$96&gt;0,Plan_Compras!$H$96=""),AND(Plan_Compras!$J$96&gt;0,Plan_Compras!$K$96=""),AND(Plan_Compras!$G$105&gt;0,Plan_Compras!$H$105=""),AND(Plan_Compras!$J$105&gt;0,Plan_Compras!$K$105=""),AND(Plan_Compras!$G$114&gt;0,Plan_Compras!$H$114=""),AND(Plan_Compras!$J$114&gt;0,Plan_Compras!$K$114=""))),"",MAX(IF(Plan_Compras!$G$15&gt;0,Plan_Compras!$H$15,-1E+99),IF(Plan_Compras!$J$15&gt;0,Plan_Compras!$K$15,-1E+99),IF(Plan_Compras!$G$24&gt;0,Plan_Compras!$H$24,-1E+99),IF(Plan_Compras!$J$24&gt;0,Plan_Compras!$K$24,-1E+99),IF(Plan_Compras!$G$33&gt;0,Plan_Compras!$H$33,-1E+99),IF(Plan_Compras!$J$33&gt;0,Plan_Compras!$K$33,-1E+99),IF(Plan_Compras!$G$42&gt;0,Plan_Compras!$H$42,-1E+99),IF(Plan_Compras!$J$42&gt;0,Plan_Compras!$K$42,-1E+99),IF(Plan_Compras!$G$51&gt;0,Plan_Compras!$H$51,-1E+99),IF(Plan_Compras!$J$51&gt;0,Plan_Compras!$K$51,-1E+99),IF(Plan_Compras!$G$60&gt;0,Plan_Compras!$H$60,-1E+99),IF(Plan_Compras!$J$60&gt;0,Plan_Compras!$K$60,-1E+99),IF(Plan_Compras!$G$69&gt;0,Plan_Compras!$H$69,-1E+99),IF(Plan_Compras!$J$69&gt;0,Plan_Compras!$K$69,-1E+99),IF(Plan_Compras!$G$78&gt;0,Plan_Compras!$H$78,-1E+99),IF(Plan_Compras!$J$78&gt;0,Plan_Compras!$K$78,-1E+99),IF(Plan_Compras!$G$87&gt;0,Plan_Compras!$H$87,-1E+99),IF(Plan_Compras!$J$87&gt;0,Plan_Compras!$K$87,-1E+99),IF(Plan_Compras!$G$96&gt;0,Plan_Compras!$H$96,-1E+99),IF(Plan_Compras!$J$96&gt;0,Plan_Compras!$K$96,-1E+99),IF(Plan_Compras!$G$105&gt;0,Plan_Compras!$H$105,-1E+99),IF(Plan_Compras!$J$105&gt;0,Plan_Compras!$K$105,-1E+99),IF(Plan_Compras!$G$114&gt;0,Plan_Compras!$H$114,-1E+99),IF(Plan_Compras!$J$114&gt;0,Plan_Compras!$K$114,-1E+99)))</f>
        <v/>
      </c>
      <c r="H75" s="50" t="str">
        <f t="shared" si="5"/>
        <v/>
      </c>
      <c r="I75" s="51" t="str">
        <f t="shared" si="6"/>
        <v/>
      </c>
      <c r="J75" s="49">
        <f>IF(COUNT(Plan_Compras!$F$15,Plan_Compras!$F$24,Plan_Compras!$F$33,Plan_Compras!$F$42,Plan_Compras!$F$51,Plan_Compras!$F$60,Plan_Compras!$F$69,Plan_Compras!$F$78,Plan_Compras!$F$87,Plan_Compras!$F$96,Plan_Compras!$F$105,Plan_Compras!$F$114)=0,"",SUM(Plan_Compras!$F$15,Plan_Compras!$F$24,Plan_Compras!$F$33,Plan_Compras!$F$42,Plan_Compras!$F$51,Plan_Compras!$F$60,Plan_Compras!$F$69,Plan_Compras!$F$78,Plan_Compras!$F$87,Plan_Compras!$F$96,Plan_Compras!$F$105,Plan_Compras!$F$114)-SUM(Plan_Compras!$E$15,Plan_Compras!$E$24,Plan_Compras!$E$33,Plan_Compras!$E$42,Plan_Compras!$E$51,Plan_Compras!$E$60,Plan_Compras!$E$69,Plan_Compras!$E$78,Plan_Compras!$E$87,Plan_Compras!$E$96,Plan_Compras!$E$105,Plan_Compras!$E$114))</f>
        <v>8.1632653061224687</v>
      </c>
      <c r="K75" s="52" t="str">
        <f t="shared" si="7"/>
        <v/>
      </c>
    </row>
  </sheetData>
  <conditionalFormatting sqref="B44:N44">
    <cfRule type="containsText" dxfId="5" priority="2" operator="containsText" text="WARNING"/>
    <cfRule type="containsText" dxfId="4" priority="5" operator="containsText" text="ALERTA"/>
  </conditionalFormatting>
  <conditionalFormatting sqref="E12">
    <cfRule type="containsText" dxfId="3" priority="1" operator="containsText" text="WARNING"/>
    <cfRule type="containsText" dxfId="2" priority="4" operator="containsText" text="ALERTA"/>
  </conditionalFormatting>
  <conditionalFormatting sqref="P50:P61">
    <cfRule type="containsText" dxfId="1" priority="3" operator="containsText" text="WARNING"/>
    <cfRule type="containsText" dxfId="0" priority="6" operator="containsText" text="ALERTA"/>
  </conditionalFormatting>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LEEME</vt:lpstr>
      <vt:lpstr>Supuestos</vt:lpstr>
      <vt:lpstr>Maestro_Ingredientes</vt:lpstr>
      <vt:lpstr>Plan_Produccion</vt:lpstr>
      <vt:lpstr>Plan_Compras</vt:lpstr>
      <vt:lpstr>Modelo_Costes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2026-09-08T00:21:32Z</dcterms:created>
  <dcterms:modified xsi:type="dcterms:W3CDTF">2026-09-08T00:21:32Z</dcterms:modified>
</cp:coreProperties>
</file>